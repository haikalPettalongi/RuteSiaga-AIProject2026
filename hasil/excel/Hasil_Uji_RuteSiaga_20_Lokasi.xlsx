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36e765d77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ji" sheetId="1" r:id="R2f528a5ed42749ae"/>
    <x:sheet xmlns:r="http://schemas.openxmlformats.org/officeDocument/2006/relationships" name="Lokasi" sheetId="2" r:id="R21ec5e54beed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0.0"/>
    <x:numFmt numFmtId="202" formatCode="dd/mm/yyyy hh:mm"/>
  </x:numFmts>
  <x:fonts count="4">
    <x:font>
      <x:sz val="11"/>
      <x:name val="Carlito"/>
    </x:font>
    <x:font>
      <x:sz val="11"/>
      <x:color rgb="FF203246"/>
      <x:name val="Arial"/>
    </x:font>
    <x:font>
      <x:b/>
      <x:sz val="16"/>
      <x:color rgb="FF2032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7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52217"/>
      </x:font>
      <x:fill>
        <x:patternFill patternType="solid">
          <x:bgColor rgb="FFFB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35c1100fd4b2e" /><Relationship Type="http://schemas.openxmlformats.org/officeDocument/2006/relationships/theme" Target="/xl/theme/theme1.xml" Id="R6e7f6c17fcb44681" /><Relationship Type="http://schemas.openxmlformats.org/officeDocument/2006/relationships/sharedStrings" Target="/xl/sharedStrings.xml" Id="Rb1a57e05f4ea4667" /><Relationship Type="http://schemas.openxmlformats.org/officeDocument/2006/relationships/worksheet" Target="/xl/worksheets/sheet1.xml" Id="R2f528a5ed42749ae" /><Relationship Type="http://schemas.openxmlformats.org/officeDocument/2006/relationships/worksheet" Target="/xl/worksheets/sheet2.xml" Id="R21ec5e54beed4718" /></Relationships>
</file>

<file path=xl/tables/table1.xml><?xml version="1.0" encoding="utf-8"?>
<x:table xmlns:x="http://schemas.openxmlformats.org/spreadsheetml/2006/main" id="1" name="UjiRute" displayName="UjiRute" ref="A7:V87" headerRowCount="1" totalsRowCount="0" totalsRowShown="0">
  <x:tableColumns count="22">
    <x:tableColumn id="1" name="ID uji"/>
    <x:tableColumn id="2" name="ID lokasi"/>
    <x:tableColumn id="3" name="Lokasi"/>
    <x:tableColumn id="4" name="Skenario"/>
    <x:tableColumn id="5" name="Lintang pakai"/>
    <x:tableColumn id="6" name="Bujur pakai"/>
    <x:tableColumn id="7" name="Tanggal / jam uji (WIB)"/>
    <x:tableColumn id="8" name="Status uji"/>
    <x:tableColumn id="9" name="RS tujuan"/>
    <x:tableColumn id="10" name="Jarak rute (m)"/>
    <x:tableColumn id="11" name="Selisih ke jalan (m)"/>
    <x:tableColumn id="12" name="Biaya UCS (detik)"/>
    <x:tableColumn id="13" name="Biaya A* (detik)"/>
    <x:tableColumn id="14" name="Selisih biaya (detik)"/>
    <x:tableColumn id="15" name="Biaya sama? ≤0,1 dtk"/>
    <x:tableColumn id="16" name="Catatan / pesan gagal"/>
    <x:tableColumn id="17" name="Nama berkas JSON"/>
    <x:tableColumn id="18" name="Komputasi UCS (ms)"/>
    <x:tableColumn id="19" name="Komputasi A* (ms)"/>
    <x:tableColumn id="20" name="State UCS"/>
    <x:tableColumn id="21" name="State A*"/>
    <x:tableColumn id="22" name="Ruas sama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kasiUji" displayName="LokasiUji" ref="A7:H27" headerRowCount="1" totalsRowCount="0" totalsRowShown="0">
  <x:tableColumns count="8">
    <x:tableColumn id="1" name="ID lokasi"/>
    <x:tableColumn id="2" name="Nama / kata kunci"/>
    <x:tableColumn id="3" name="Konteks uji"/>
    <x:tableColumn id="4" name="Lintang referensi"/>
    <x:tableColumn id="5" name="Bujur referensi"/>
    <x:tableColumn id="6" name="Lintang pakai (isi)"/>
    <x:tableColumn id="7" name="Bujur pakai (isi)"/>
    <x:tableColumn id="8" name="Sumber / petunj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ea7766b4445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11865523734fd9" /></Relationships>
</file>

<file path=xl/worksheets/sheet1.xml><?xml version="1.0" encoding="utf-8"?>
<x:worksheet xmlns:x="http://schemas.openxmlformats.org/spreadsheetml/2006/main">
  <x:sheetPr>
    <x:tabColor rgb="FF203B57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12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32" hidden="0" customWidth="1"/>
    <x:col min="10" max="10" width="15" hidden="0" customWidth="1"/>
    <x:col min="11" max="11" width="17" hidden="0" customWidth="1"/>
    <x:col min="12" max="12" width="16" hidden="0" customWidth="1"/>
    <x:col min="13" max="13" width="16" hidden="0" customWidth="1"/>
    <x:col min="14" max="14" width="17" hidden="0" customWidth="1"/>
    <x:col min="15" max="15" width="23" hidden="0" customWidth="1"/>
    <x:col min="16" max="16" width="55" hidden="0" customWidth="1"/>
    <x:col min="17" max="17" width="28" hidden="0" customWidth="1"/>
    <x:col min="18" max="18" width="20" hidden="0" customWidth="1"/>
    <x:col min="19" max="19" width="20" hidden="0" customWidth="1"/>
    <x:col min="20" max="20" width="15" hidden="0" customWidth="1"/>
    <x:col min="21" max="21" width="15" hidden="0" customWidth="1"/>
    <x:col min="22" max="22" width="1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6" customHeight="1">
      <x:c r="A2" s="3" t="str">
        <x:v>Hasil uji otomatis RuteSiaga: 20 lokasi × 4 skenario</x:v>
      </x:c>
      <x:c r="B2" s="2"/>
      <x:c r="C2" s="2"/>
      <x:c r="D2" s="2"/>
      <x:c r="E2" s="2"/>
      <x:c r="F2" s="2"/>
      <x:c r="G2" s="2"/>
      <x:c r="H2" s="2"/>
      <x:c r="I2" s="2"/>
      <x:c r="J2" s="2" t="str">
        <x:v>Sudah dicoba</x:v>
      </x:c>
      <x:c r="K2" s="2" t="n">
        <x:f>COUNTIFS(H8:H87,"&lt;&gt;Belum diuji",H8:H87,"&lt;&gt;")</x:f>
        <x:v>80</x:v>
      </x:c>
      <x:c r="L2" s="2"/>
      <x:c r="M2" s="2" t="str">
        <x:v>Belum dicoba</x:v>
      </x:c>
      <x:c r="N2" s="2" t="n">
        <x:f>80-K2</x:f>
        <x:v>0</x:v>
      </x:c>
      <x:c r="O2" s="2"/>
      <x:c r="P2" s="2"/>
      <x:c r="Q2" s="2"/>
      <x:c r="R2" s="2"/>
      <x:c r="S2" s="2"/>
      <x:c r="T2" s="2"/>
      <x:c r="U2" s="2"/>
      <x:c r="V2" s="2"/>
    </x:row>
    <x:row r="3" ht="26" customHeight="1">
      <x:c r="A3" s="2" t="str">
        <x:v>Mesin rute inti yang sama dengan web; pemilihan titik L04–L20 otomatis dari jalan OSM dekat penanda.</x:v>
      </x:c>
      <x:c r="B3" s="2"/>
      <x:c r="C3" s="2"/>
      <x:c r="D3" s="2"/>
      <x:c r="E3" s="2"/>
      <x:c r="F3" s="2"/>
      <x:c r="G3" s="2"/>
      <x:c r="H3" s="2"/>
      <x:c r="I3" s="2"/>
      <x:c r="J3" s="2" t="str">
        <x:v>Jika gagal, pesan asli dicatat dan angka/RS dibiarkan kosong.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6" customHeight="1">
      <x:c r="A4" s="2" t="str">
        <x:v>Hasil ini menguji model pada data OSM, belum memverifikasi akses kendaraan, pintu RS, atau waktu lapangan.</x:v>
      </x:c>
      <x:c r="B4" s="2"/>
      <x:c r="C4" s="2"/>
      <x:c r="D4" s="2"/>
      <x:c r="E4" s="2"/>
      <x:c r="F4" s="2"/>
      <x:c r="G4" s="2"/>
      <x:c r="H4" s="2"/>
      <x:c r="I4" s="2"/>
      <x:c r="J4" s="2" t="str">
        <x:v>Kolom O memakai toleransi 0,1 detik karena tampilan web dibulatkan.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6" customHeight="1">
      <x:c r="A5" s="2" t="str">
        <x:v>Biaya dalam detik, lama komputasi dalam ms. JSON sumber berisi rincian 80 percobaan.</x:v>
      </x:c>
      <x:c r="B5" s="2"/>
      <x:c r="C5" s="2"/>
      <x:c r="D5" s="2"/>
      <x:c r="E5" s="2"/>
      <x:c r="F5" s="2"/>
      <x:c r="G5" s="2"/>
      <x:c r="H5" s="2"/>
      <x:c r="I5" s="2"/>
      <x:c r="J5" s="2" t="str">
        <x:v>Biaya sama bukan bukti akses fisik atau estimasi waktu sudah benar.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 t="str">
        <x:v>Rute ditemukan</x:v>
      </x:c>
      <x:c r="K6" s="2" t="n">
        <x:f>COUNTIFS(H8:H87,"Berhasil")</x:f>
        <x:v>80</x:v>
      </x:c>
      <x:c r="L6" s="2"/>
      <x:c r="M6" s="2" t="str">
        <x:v>Biaya berbeda</x:v>
      </x:c>
      <x:c r="N6" s="2" t="n">
        <x:f>COUNTIFS(O8:O87,"Periksa")</x:f>
        <x:v>0</x:v>
      </x:c>
      <x:c r="O6" s="2"/>
      <x:c r="P6" s="2"/>
      <x:c r="Q6" s="2"/>
      <x:c r="R6" s="2"/>
      <x:c r="S6" s="2"/>
      <x:c r="T6" s="2"/>
      <x:c r="U6" s="2"/>
      <x:c r="V6" s="2"/>
    </x:row>
    <x:row r="7" ht="42" customHeight="1">
      <x:c r="A7" s="7" t="str">
        <x:v>ID uji</x:v>
      </x:c>
      <x:c r="B7" s="7" t="str">
        <x:v>ID lokasi</x:v>
      </x:c>
      <x:c r="C7" s="7" t="str">
        <x:v>Lokasi</x:v>
      </x:c>
      <x:c r="D7" s="7" t="str">
        <x:v>Skenario</x:v>
      </x:c>
      <x:c r="E7" s="7" t="str">
        <x:v>Lintang pakai</x:v>
      </x:c>
      <x:c r="F7" s="7" t="str">
        <x:v>Bujur pakai</x:v>
      </x:c>
      <x:c r="G7" s="7" t="str">
        <x:v>Tanggal / jam uji (WIB)</x:v>
      </x:c>
      <x:c r="H7" s="7" t="str">
        <x:v>Status uji</x:v>
      </x:c>
      <x:c r="I7" s="7" t="str">
        <x:v>RS tujuan</x:v>
      </x:c>
      <x:c r="J7" s="7" t="str">
        <x:v>Jarak rute (m)</x:v>
      </x:c>
      <x:c r="K7" s="7" t="str">
        <x:v>Selisih ke jalan (m)</x:v>
      </x:c>
      <x:c r="L7" s="7" t="str">
        <x:v>Biaya UCS (detik)</x:v>
      </x:c>
      <x:c r="M7" s="7" t="str">
        <x:v>Biaya A* (detik)</x:v>
      </x:c>
      <x:c r="N7" s="7" t="str">
        <x:v>Selisih biaya (detik)</x:v>
      </x:c>
      <x:c r="O7" s="7" t="str">
        <x:v>Biaya sama? ≤0,1 dtk</x:v>
      </x:c>
      <x:c r="P7" s="7" t="str">
        <x:v>Catatan / pesan gagal</x:v>
      </x:c>
      <x:c r="Q7" s="7" t="str">
        <x:v>Nama berkas JSON</x:v>
      </x:c>
      <x:c r="R7" s="7" t="str">
        <x:v>Komputasi UCS (ms)</x:v>
      </x:c>
      <x:c r="S7" s="7" t="str">
        <x:v>Komputasi A* (ms)</x:v>
      </x:c>
      <x:c r="T7" s="7" t="str">
        <x:v>State UCS</x:v>
      </x:c>
      <x:c r="U7" s="7" t="str">
        <x:v>State A*</x:v>
      </x:c>
      <x:c r="V7" s="7" t="str">
        <x:v>Ruas sama?</x:v>
      </x:c>
    </x:row>
    <x:row r="8" ht="46" customHeight="1">
      <x:c r="A8" s="13" t="str">
        <x:v>U01</x:v>
      </x:c>
      <x:c r="B8" s="13" t="str">
        <x:v>L01</x:v>
      </x:c>
      <x:c r="C8" s="13" t="str">
        <x:f>'Lokasi'!B8</x:f>
        <x:v>Jalan Grafika</x:v>
      </x:c>
      <x:c r="D8" s="13" t="str">
        <x:v>pagi</x:v>
      </x:c>
      <x:c r="E8" s="14" t="n">
        <x:f>IF('Lokasi'!F8="","",'Lokasi'!F8)</x:f>
        <x:v>-7.766067024356544</x:v>
      </x:c>
      <x:c r="F8" s="14" t="n">
        <x:f>IF('Lokasi'!G8="","",'Lokasi'!G8)</x:f>
        <x:v>110.37390636072011</x:v>
      </x:c>
      <x:c r="G8" s="15" t="n">
        <x:v>46295.42099390046</x:v>
      </x:c>
      <x:c r="H8" s="16" t="str">
        <x:v>Berhasil</x:v>
      </x:c>
      <x:c r="I8" s="16" t="str">
        <x:v>RSUP Dr. Sardjito</x:v>
      </x:c>
      <x:c r="J8" s="17" t="n">
        <x:v>249.40839925334663</x:v>
      </x:c>
      <x:c r="K8" s="17" t="n">
        <x:v>7.0792869392404185</x:v>
      </x:c>
      <x:c r="L8" s="17" t="n">
        <x:v>44.89351186560239</x:v>
      </x:c>
      <x:c r="M8" s="17" t="n">
        <x:v>44.89351186560239</x:v>
      </x:c>
      <x:c r="N8" s="18" t="n">
        <x:f>IF(COUNT(L8:M8)&lt;2,"",ABS(L8-M8))</x:f>
        <x:v>0</x:v>
      </x:c>
      <x:c r="O8" s="13" t="str">
        <x:f>IF(COUNT(L8:M8)&lt;2,"",IF(ABS(L8-M8)&lt;=0.1,"Sama (≤0,1 dtk)","Periksa"))</x:f>
        <x:v>Sama (≤0,1 dtk)</x:v>
      </x:c>
      <x:c r="P8" s="16" t="str">
        <x:v>koordinat pengguna; akses fisik belum diverifikasi</x:v>
      </x:c>
      <x:c r="Q8" s="16" t="str">
        <x:v>hasil_batch.json (U01)</x:v>
      </x:c>
      <x:c r="R8" s="17" t="n">
        <x:v>0.24030008353292942</x:v>
      </x:c>
      <x:c r="S8" s="17" t="n">
        <x:v>0.7656000088900328</x:v>
      </x:c>
      <x:c r="T8" s="16" t="n">
        <x:v>43</x:v>
      </x:c>
      <x:c r="U8" s="16" t="n">
        <x:v>36</x:v>
      </x:c>
      <x:c r="V8" s="16" t="str">
        <x:v>Ya</x:v>
      </x:c>
    </x:row>
    <x:row r="9" ht="46" customHeight="1">
      <x:c r="A9" s="13" t="str">
        <x:v>U02</x:v>
      </x:c>
      <x:c r="B9" s="13" t="str">
        <x:v>L01</x:v>
      </x:c>
      <x:c r="C9" s="13" t="str">
        <x:f>'Lokasi'!B8</x:f>
        <x:v>Jalan Grafika</x:v>
      </x:c>
      <x:c r="D9" s="13" t="str">
        <x:v>siang</x:v>
      </x:c>
      <x:c r="E9" s="14" t="n">
        <x:f>IF('Lokasi'!F8="","",'Lokasi'!F8)</x:f>
        <x:v>-7.766067024356544</x:v>
      </x:c>
      <x:c r="F9" s="14" t="n">
        <x:f>IF('Lokasi'!G8="","",'Lokasi'!G8)</x:f>
        <x:v>110.37390636072011</x:v>
      </x:c>
      <x:c r="G9" s="15" t="n">
        <x:v>46295.42103414352</x:v>
      </x:c>
      <x:c r="H9" s="16" t="str">
        <x:v>Berhasil</x:v>
      </x:c>
      <x:c r="I9" s="16" t="str">
        <x:v>RSUP Dr. Sardjito</x:v>
      </x:c>
      <x:c r="J9" s="17" t="n">
        <x:v>249.40839925334663</x:v>
      </x:c>
      <x:c r="K9" s="17" t="n">
        <x:v>7.0792869392404185</x:v>
      </x:c>
      <x:c r="L9" s="17" t="n">
        <x:v>44.89351186560239</x:v>
      </x:c>
      <x:c r="M9" s="17" t="n">
        <x:v>44.89351186560239</x:v>
      </x:c>
      <x:c r="N9" s="18" t="n">
        <x:f>IF(COUNT(L9:M9)&lt;2,"",ABS(L9-M9))</x:f>
        <x:v>0</x:v>
      </x:c>
      <x:c r="O9" s="13" t="str">
        <x:f>IF(COUNT(L9:M9)&lt;2,"",IF(ABS(L9-M9)&lt;=0.1,"Sama (≤0,1 dtk)","Periksa"))</x:f>
        <x:v>Sama (≤0,1 dtk)</x:v>
      </x:c>
      <x:c r="P9" s="16" t="str">
        <x:v>koordinat pengguna; akses fisik belum diverifikasi</x:v>
      </x:c>
      <x:c r="Q9" s="16" t="str">
        <x:v>hasil_batch.json (U02)</x:v>
      </x:c>
      <x:c r="R9" s="17" t="n">
        <x:v>0.2166999038308859</x:v>
      </x:c>
      <x:c r="S9" s="17" t="n">
        <x:v>0.875100027769804</x:v>
      </x:c>
      <x:c r="T9" s="16" t="n">
        <x:v>43</x:v>
      </x:c>
      <x:c r="U9" s="16" t="n">
        <x:v>36</x:v>
      </x:c>
      <x:c r="V9" s="16" t="str">
        <x:v>Ya</x:v>
      </x:c>
    </x:row>
    <x:row r="10" ht="46" customHeight="1">
      <x:c r="A10" s="13" t="str">
        <x:v>U03</x:v>
      </x:c>
      <x:c r="B10" s="13" t="str">
        <x:v>L01</x:v>
      </x:c>
      <x:c r="C10" s="13" t="str">
        <x:f>'Lokasi'!B8</x:f>
        <x:v>Jalan Grafika</x:v>
      </x:c>
      <x:c r="D10" s="13" t="str">
        <x:v>sore</x:v>
      </x:c>
      <x:c r="E10" s="14" t="n">
        <x:f>IF('Lokasi'!F8="","",'Lokasi'!F8)</x:f>
        <x:v>-7.766067024356544</x:v>
      </x:c>
      <x:c r="F10" s="14" t="n">
        <x:f>IF('Lokasi'!G8="","",'Lokasi'!G8)</x:f>
        <x:v>110.37390636072011</x:v>
      </x:c>
      <x:c r="G10" s="15" t="n">
        <x:v>46295.42107961805</x:v>
      </x:c>
      <x:c r="H10" s="16" t="str">
        <x:v>Berhasil</x:v>
      </x:c>
      <x:c r="I10" s="16" t="str">
        <x:v>RSUP Dr. Sardjito</x:v>
      </x:c>
      <x:c r="J10" s="17" t="n">
        <x:v>249.40839925334663</x:v>
      </x:c>
      <x:c r="K10" s="17" t="n">
        <x:v>7.0792869392404185</x:v>
      </x:c>
      <x:c r="L10" s="17" t="n">
        <x:v>44.89351186560239</x:v>
      </x:c>
      <x:c r="M10" s="17" t="n">
        <x:v>44.89351186560239</x:v>
      </x:c>
      <x:c r="N10" s="18" t="n">
        <x:f>IF(COUNT(L10:M10)&lt;2,"",ABS(L10-M10))</x:f>
        <x:v>0</x:v>
      </x:c>
      <x:c r="O10" s="13" t="str">
        <x:f>IF(COUNT(L10:M10)&lt;2,"",IF(ABS(L10-M10)&lt;=0.1,"Sama (≤0,1 dtk)","Periksa"))</x:f>
        <x:v>Sama (≤0,1 dtk)</x:v>
      </x:c>
      <x:c r="P10" s="16" t="str">
        <x:v>koordinat pengguna; akses fisik belum diverifikasi</x:v>
      </x:c>
      <x:c r="Q10" s="16" t="str">
        <x:v>hasil_batch.json (U03)</x:v>
      </x:c>
      <x:c r="R10" s="17" t="n">
        <x:v>0.23699994198977947</x:v>
      </x:c>
      <x:c r="S10" s="17" t="n">
        <x:v>0.7740999571979046</x:v>
      </x:c>
      <x:c r="T10" s="16" t="n">
        <x:v>43</x:v>
      </x:c>
      <x:c r="U10" s="16" t="n">
        <x:v>36</x:v>
      </x:c>
      <x:c r="V10" s="16" t="str">
        <x:v>Ya</x:v>
      </x:c>
    </x:row>
    <x:row r="11" ht="46" customHeight="1">
      <x:c r="A11" s="13" t="str">
        <x:v>U04</x:v>
      </x:c>
      <x:c r="B11" s="13" t="str">
        <x:v>L01</x:v>
      </x:c>
      <x:c r="C11" s="13" t="str">
        <x:f>'Lokasi'!B8</x:f>
        <x:v>Jalan Grafika</x:v>
      </x:c>
      <x:c r="D11" s="13" t="str">
        <x:v>malam</x:v>
      </x:c>
      <x:c r="E11" s="14" t="n">
        <x:f>IF('Lokasi'!F8="","",'Lokasi'!F8)</x:f>
        <x:v>-7.766067024356544</x:v>
      </x:c>
      <x:c r="F11" s="14" t="n">
        <x:f>IF('Lokasi'!G8="","",'Lokasi'!G8)</x:f>
        <x:v>110.37390636072011</x:v>
      </x:c>
      <x:c r="G11" s="15" t="n">
        <x:v>46295.421128877315</x:v>
      </x:c>
      <x:c r="H11" s="16" t="str">
        <x:v>Berhasil</x:v>
      </x:c>
      <x:c r="I11" s="16" t="str">
        <x:v>RSUP Dr. Sardjito</x:v>
      </x:c>
      <x:c r="J11" s="17" t="n">
        <x:v>249.40839925334663</x:v>
      </x:c>
      <x:c r="K11" s="17" t="n">
        <x:v>7.0792869392404185</x:v>
      </x:c>
      <x:c r="L11" s="17" t="n">
        <x:v>44.89351186560239</x:v>
      </x:c>
      <x:c r="M11" s="17" t="n">
        <x:v>44.89351186560239</x:v>
      </x:c>
      <x:c r="N11" s="18" t="n">
        <x:f>IF(COUNT(L11:M11)&lt;2,"",ABS(L11-M11))</x:f>
        <x:v>0</x:v>
      </x:c>
      <x:c r="O11" s="13" t="str">
        <x:f>IF(COUNT(L11:M11)&lt;2,"",IF(ABS(L11-M11)&lt;=0.1,"Sama (≤0,1 dtk)","Periksa"))</x:f>
        <x:v>Sama (≤0,1 dtk)</x:v>
      </x:c>
      <x:c r="P11" s="16" t="str">
        <x:v>koordinat pengguna; akses fisik belum diverifikasi</x:v>
      </x:c>
      <x:c r="Q11" s="16" t="str">
        <x:v>hasil_batch.json (U04)</x:v>
      </x:c>
      <x:c r="R11" s="17" t="n">
        <x:v>0.23639993742108345</x:v>
      </x:c>
      <x:c r="S11" s="17" t="n">
        <x:v>0.8986000902950764</x:v>
      </x:c>
      <x:c r="T11" s="16" t="n">
        <x:v>43</x:v>
      </x:c>
      <x:c r="U11" s="16" t="n">
        <x:v>36</x:v>
      </x:c>
      <x:c r="V11" s="16" t="str">
        <x:v>Ya</x:v>
      </x:c>
    </x:row>
    <x:row r="12" ht="46" customHeight="1">
      <x:c r="A12" s="13" t="str">
        <x:v>U05</x:v>
      </x:c>
      <x:c r="B12" s="13" t="str">
        <x:v>L02</x:v>
      </x:c>
      <x:c r="C12" s="13" t="str">
        <x:f>'Lokasi'!B9</x:f>
        <x:v>UGM — Jalan Pancasila</x:v>
      </x:c>
      <x:c r="D12" s="13" t="str">
        <x:v>pagi</x:v>
      </x:c>
      <x:c r="E12" s="14" t="n">
        <x:f>IF('Lokasi'!F9="","",'Lokasi'!F9)</x:f>
        <x:v>-7.773595801763427</x:v>
      </x:c>
      <x:c r="F12" s="14" t="n">
        <x:f>IF('Lokasi'!G9="","",'Lokasi'!G9)</x:f>
        <x:v>110.376947373952</x:v>
      </x:c>
      <x:c r="G12" s="15" t="n">
        <x:v>46295.42120460648</x:v>
      </x:c>
      <x:c r="H12" s="16" t="str">
        <x:v>Berhasil</x:v>
      </x:c>
      <x:c r="I12" s="16" t="str">
        <x:v>Rumah Sakit Panti Rapih</x:v>
      </x:c>
      <x:c r="J12" s="17" t="n">
        <x:v>450.8985674074454</x:v>
      </x:c>
      <x:c r="K12" s="17" t="n">
        <x:v>0.20595750509494168</x:v>
      </x:c>
      <x:c r="L12" s="17" t="n">
        <x:v>110.24232232754531</x:v>
      </x:c>
      <x:c r="M12" s="17" t="n">
        <x:v>110.24232232754531</x:v>
      </x:c>
      <x:c r="N12" s="18" t="n">
        <x:f>IF(COUNT(L12:M12)&lt;2,"",ABS(L12-M12))</x:f>
        <x:v>0</x:v>
      </x:c>
      <x:c r="O12" s="13" t="str">
        <x:f>IF(COUNT(L12:M12)&lt;2,"",IF(ABS(L12-M12)&lt;=0.1,"Sama (≤0,1 dtk)","Periksa"))</x:f>
        <x:v>Sama (≤0,1 dtk)</x:v>
      </x:c>
      <x:c r="P12" s="16" t="str">
        <x:v>koordinat pengguna; akses fisik belum diverifikasi</x:v>
      </x:c>
      <x:c r="Q12" s="16" t="str">
        <x:v>hasil_batch.json (U05)</x:v>
      </x:c>
      <x:c r="R12" s="17" t="n">
        <x:v>0.6624001543968916</x:v>
      </x:c>
      <x:c r="S12" s="17" t="n">
        <x:v>2.741500036790967</x:v>
      </x:c>
      <x:c r="T12" s="16" t="n">
        <x:v>182</x:v>
      </x:c>
      <x:c r="U12" s="16" t="n">
        <x:v>124</x:v>
      </x:c>
      <x:c r="V12" s="16" t="str">
        <x:v>Ya</x:v>
      </x:c>
    </x:row>
    <x:row r="13" ht="46" customHeight="1">
      <x:c r="A13" s="13" t="str">
        <x:v>U06</x:v>
      </x:c>
      <x:c r="B13" s="13" t="str">
        <x:v>L02</x:v>
      </x:c>
      <x:c r="C13" s="13" t="str">
        <x:f>'Lokasi'!B9</x:f>
        <x:v>UGM — Jalan Pancasila</x:v>
      </x:c>
      <x:c r="D13" s="13" t="str">
        <x:v>siang</x:v>
      </x:c>
      <x:c r="E13" s="14" t="n">
        <x:f>IF('Lokasi'!F9="","",'Lokasi'!F9)</x:f>
        <x:v>-7.773595801763427</x:v>
      </x:c>
      <x:c r="F13" s="14" t="n">
        <x:f>IF('Lokasi'!G9="","",'Lokasi'!G9)</x:f>
        <x:v>110.376947373952</x:v>
      </x:c>
      <x:c r="G13" s="15" t="n">
        <x:v>46295.42124877315</x:v>
      </x:c>
      <x:c r="H13" s="16" t="str">
        <x:v>Berhasil</x:v>
      </x:c>
      <x:c r="I13" s="16" t="str">
        <x:v>Rumah Sakit Panti Rapih</x:v>
      </x:c>
      <x:c r="J13" s="17" t="n">
        <x:v>450.8985674074454</x:v>
      </x:c>
      <x:c r="K13" s="17" t="n">
        <x:v>0.20595750509494168</x:v>
      </x:c>
      <x:c r="L13" s="17" t="n">
        <x:v>103.32334128962214</x:v>
      </x:c>
      <x:c r="M13" s="17" t="n">
        <x:v>103.32334128962214</x:v>
      </x:c>
      <x:c r="N13" s="18" t="n">
        <x:f>IF(COUNT(L13:M13)&lt;2,"",ABS(L13-M13))</x:f>
        <x:v>0</x:v>
      </x:c>
      <x:c r="O13" s="13" t="str">
        <x:f>IF(COUNT(L13:M13)&lt;2,"",IF(ABS(L13-M13)&lt;=0.1,"Sama (≤0,1 dtk)","Periksa"))</x:f>
        <x:v>Sama (≤0,1 dtk)</x:v>
      </x:c>
      <x:c r="P13" s="16" t="str">
        <x:v>koordinat pengguna; akses fisik belum diverifikasi</x:v>
      </x:c>
      <x:c r="Q13" s="16" t="str">
        <x:v>hasil_batch.json (U06)</x:v>
      </x:c>
      <x:c r="R13" s="17" t="n">
        <x:v>0.7811998948454857</x:v>
      </x:c>
      <x:c r="S13" s="17" t="n">
        <x:v>1.8668000120669603</x:v>
      </x:c>
      <x:c r="T13" s="16" t="n">
        <x:v>176</x:v>
      </x:c>
      <x:c r="U13" s="16" t="n">
        <x:v>116</x:v>
      </x:c>
      <x:c r="V13" s="16" t="str">
        <x:v>Ya</x:v>
      </x:c>
    </x:row>
    <x:row r="14" ht="46" customHeight="1">
      <x:c r="A14" s="13" t="str">
        <x:v>U07</x:v>
      </x:c>
      <x:c r="B14" s="13" t="str">
        <x:v>L02</x:v>
      </x:c>
      <x:c r="C14" s="13" t="str">
        <x:f>'Lokasi'!B9</x:f>
        <x:v>UGM — Jalan Pancasila</x:v>
      </x:c>
      <x:c r="D14" s="13" t="str">
        <x:v>sore</x:v>
      </x:c>
      <x:c r="E14" s="14" t="n">
        <x:f>IF('Lokasi'!F9="","",'Lokasi'!F9)</x:f>
        <x:v>-7.773595801763427</x:v>
      </x:c>
      <x:c r="F14" s="14" t="n">
        <x:f>IF('Lokasi'!G9="","",'Lokasi'!G9)</x:f>
        <x:v>110.376947373952</x:v>
      </x:c>
      <x:c r="G14" s="15" t="n">
        <x:v>46295.42128603009</x:v>
      </x:c>
      <x:c r="H14" s="16" t="str">
        <x:v>Berhasil</x:v>
      </x:c>
      <x:c r="I14" s="16" t="str">
        <x:v>Rumah Sakit Panti Rapih</x:v>
      </x:c>
      <x:c r="J14" s="17" t="n">
        <x:v>450.8985674074454</x:v>
      </x:c>
      <x:c r="K14" s="17" t="n">
        <x:v>0.20595750509494168</x:v>
      </x:c>
      <x:c r="L14" s="17" t="n">
        <x:v>89.48537921377573</x:v>
      </x:c>
      <x:c r="M14" s="17" t="n">
        <x:v>89.48537921377573</x:v>
      </x:c>
      <x:c r="N14" s="18" t="n">
        <x:f>IF(COUNT(L14:M14)&lt;2,"",ABS(L14-M14))</x:f>
        <x:v>0</x:v>
      </x:c>
      <x:c r="O14" s="13" t="str">
        <x:f>IF(COUNT(L14:M14)&lt;2,"",IF(ABS(L14-M14)&lt;=0.1,"Sama (≤0,1 dtk)","Periksa"))</x:f>
        <x:v>Sama (≤0,1 dtk)</x:v>
      </x:c>
      <x:c r="P14" s="16" t="str">
        <x:v>koordinat pengguna; akses fisik belum diverifikasi</x:v>
      </x:c>
      <x:c r="Q14" s="16" t="str">
        <x:v>hasil_batch.json (U07)</x:v>
      </x:c>
      <x:c r="R14" s="17" t="n">
        <x:v>1.4010998420417309</x:v>
      </x:c>
      <x:c r="S14" s="17" t="n">
        <x:v>4.593399818986654</x:v>
      </x:c>
      <x:c r="T14" s="16" t="n">
        <x:v>154</x:v>
      </x:c>
      <x:c r="U14" s="16" t="n">
        <x:v>92</x:v>
      </x:c>
      <x:c r="V14" s="16" t="str">
        <x:v>Ya</x:v>
      </x:c>
    </x:row>
    <x:row r="15" ht="46" customHeight="1">
      <x:c r="A15" s="13" t="str">
        <x:v>U08</x:v>
      </x:c>
      <x:c r="B15" s="13" t="str">
        <x:v>L02</x:v>
      </x:c>
      <x:c r="C15" s="13" t="str">
        <x:f>'Lokasi'!B9</x:f>
        <x:v>UGM — Jalan Pancasila</x:v>
      </x:c>
      <x:c r="D15" s="13" t="str">
        <x:v>malam</x:v>
      </x:c>
      <x:c r="E15" s="14" t="n">
        <x:f>IF('Lokasi'!F9="","",'Lokasi'!F9)</x:f>
        <x:v>-7.773595801763427</x:v>
      </x:c>
      <x:c r="F15" s="14" t="n">
        <x:f>IF('Lokasi'!G9="","",'Lokasi'!G9)</x:f>
        <x:v>110.376947373952</x:v>
      </x:c>
      <x:c r="G15" s="15" t="n">
        <x:v>46295.42133664352</x:v>
      </x:c>
      <x:c r="H15" s="16" t="str">
        <x:v>Berhasil</x:v>
      </x:c>
      <x:c r="I15" s="16" t="str">
        <x:v>Rumah Sakit Panti Rapih</x:v>
      </x:c>
      <x:c r="J15" s="17" t="n">
        <x:v>450.8985674074454</x:v>
      </x:c>
      <x:c r="K15" s="17" t="n">
        <x:v>0.20595750509494168</x:v>
      </x:c>
      <x:c r="L15" s="17" t="n">
        <x:v>82.56639817585254</x:v>
      </x:c>
      <x:c r="M15" s="17" t="n">
        <x:v>82.56639817585254</x:v>
      </x:c>
      <x:c r="N15" s="18" t="n">
        <x:f>IF(COUNT(L15:M15)&lt;2,"",ABS(L15-M15))</x:f>
        <x:v>0</x:v>
      </x:c>
      <x:c r="O15" s="13" t="str">
        <x:f>IF(COUNT(L15:M15)&lt;2,"",IF(ABS(L15-M15)&lt;=0.1,"Sama (≤0,1 dtk)","Periksa"))</x:f>
        <x:v>Sama (≤0,1 dtk)</x:v>
      </x:c>
      <x:c r="P15" s="16" t="str">
        <x:v>koordinat pengguna; akses fisik belum diverifikasi</x:v>
      </x:c>
      <x:c r="Q15" s="16" t="str">
        <x:v>hasil_batch.json (U08)</x:v>
      </x:c>
      <x:c r="R15" s="17" t="n">
        <x:v>0.8068999741226435</x:v>
      </x:c>
      <x:c r="S15" s="17" t="n">
        <x:v>1.537600066512823</x:v>
      </x:c>
      <x:c r="T15" s="16" t="n">
        <x:v>143</x:v>
      </x:c>
      <x:c r="U15" s="16" t="n">
        <x:v>77</x:v>
      </x:c>
      <x:c r="V15" s="16" t="str">
        <x:v>Ya</x:v>
      </x:c>
    </x:row>
    <x:row r="16" ht="46" customHeight="1">
      <x:c r="A16" s="13" t="str">
        <x:v>U09</x:v>
      </x:c>
      <x:c r="B16" s="13" t="str">
        <x:v>L03</x:v>
      </x:c>
      <x:c r="C16" s="13" t="str">
        <x:f>'Lokasi'!B10</x:f>
        <x:v>Jalan Tentara Pelajar</x:v>
      </x:c>
      <x:c r="D16" s="13" t="str">
        <x:v>pagi</x:v>
      </x:c>
      <x:c r="E16" s="14" t="n">
        <x:f>IF('Lokasi'!F10="","",'Lokasi'!F10)</x:f>
        <x:v>-7.783391923119533</x:v>
      </x:c>
      <x:c r="F16" s="14" t="n">
        <x:f>IF('Lokasi'!G10="","",'Lokasi'!G10)</x:f>
        <x:v>110.36085404109025</x:v>
      </x:c>
      <x:c r="G16" s="15" t="n">
        <x:v>46295.42142114583</x:v>
      </x:c>
      <x:c r="H16" s="16" t="str">
        <x:v>Berhasil</x:v>
      </x:c>
      <x:c r="I16" s="16" t="str">
        <x:v>Rumah Sakit Dr Soetarto</x:v>
      </x:c>
      <x:c r="J16" s="17" t="n">
        <x:v>2754.7053283398527</x:v>
      </x:c>
      <x:c r="K16" s="17" t="n">
        <x:v>2.294833684719482</x:v>
      </x:c>
      <x:c r="L16" s="17" t="n">
        <x:v>547.8185178810547</x:v>
      </x:c>
      <x:c r="M16" s="17" t="n">
        <x:v>547.8185178810547</x:v>
      </x:c>
      <x:c r="N16" s="18" t="n">
        <x:f>IF(COUNT(L16:M16)&lt;2,"",ABS(L16-M16))</x:f>
        <x:v>0</x:v>
      </x:c>
      <x:c r="O16" s="13" t="str">
        <x:f>IF(COUNT(L16:M16)&lt;2,"",IF(ABS(L16-M16)&lt;=0.1,"Sama (≤0,1 dtk)","Periksa"))</x:f>
        <x:v>Sama (≤0,1 dtk)</x:v>
      </x:c>
      <x:c r="P16" s="16" t="str">
        <x:v>koordinat pengguna; akses fisik belum diverifikasi</x:v>
      </x:c>
      <x:c r="Q16" s="16" t="str">
        <x:v>hasil_batch.json (U09)</x:v>
      </x:c>
      <x:c r="R16" s="17" t="n">
        <x:v>12.006399920210242</x:v>
      </x:c>
      <x:c r="S16" s="17" t="n">
        <x:v>14.755900017917156</x:v>
      </x:c>
      <x:c r="T16" s="16" t="n">
        <x:v>922</x:v>
      </x:c>
      <x:c r="U16" s="16" t="n">
        <x:v>847</x:v>
      </x:c>
      <x:c r="V16" s="16" t="str">
        <x:v>Ya</x:v>
      </x:c>
    </x:row>
    <x:row r="17" ht="46" customHeight="1">
      <x:c r="A17" s="13" t="str">
        <x:v>U10</x:v>
      </x:c>
      <x:c r="B17" s="13" t="str">
        <x:v>L03</x:v>
      </x:c>
      <x:c r="C17" s="13" t="str">
        <x:f>'Lokasi'!B10</x:f>
        <x:v>Jalan Tentara Pelajar</x:v>
      </x:c>
      <x:c r="D17" s="13" t="str">
        <x:v>siang</x:v>
      </x:c>
      <x:c r="E17" s="14" t="n">
        <x:f>IF('Lokasi'!F10="","",'Lokasi'!F10)</x:f>
        <x:v>-7.783391923119533</x:v>
      </x:c>
      <x:c r="F17" s="14" t="n">
        <x:f>IF('Lokasi'!G10="","",'Lokasi'!G10)</x:f>
        <x:v>110.36085404109025</x:v>
      </x:c>
      <x:c r="G17" s="15" t="n">
        <x:v>46295.42146222222</x:v>
      </x:c>
      <x:c r="H17" s="16" t="str">
        <x:v>Berhasil</x:v>
      </x:c>
      <x:c r="I17" s="16" t="str">
        <x:v>Rumah Sakit Dr Soetarto</x:v>
      </x:c>
      <x:c r="J17" s="17" t="n">
        <x:v>2754.7053283398527</x:v>
      </x:c>
      <x:c r="K17" s="17" t="n">
        <x:v>2.294833684719482</x:v>
      </x:c>
      <x:c r="L17" s="17" t="n">
        <x:v>483.99808509183043</x:v>
      </x:c>
      <x:c r="M17" s="17" t="n">
        <x:v>483.99808509183043</x:v>
      </x:c>
      <x:c r="N17" s="18" t="n">
        <x:f>IF(COUNT(L17:M17)&lt;2,"",ABS(L17-M17))</x:f>
        <x:v>0</x:v>
      </x:c>
      <x:c r="O17" s="13" t="str">
        <x:f>IF(COUNT(L17:M17)&lt;2,"",IF(ABS(L17-M17)&lt;=0.1,"Sama (≤0,1 dtk)","Periksa"))</x:f>
        <x:v>Sama (≤0,1 dtk)</x:v>
      </x:c>
      <x:c r="P17" s="16" t="str">
        <x:v>koordinat pengguna; akses fisik belum diverifikasi</x:v>
      </x:c>
      <x:c r="Q17" s="16" t="str">
        <x:v>hasil_batch.json (U10)</x:v>
      </x:c>
      <x:c r="R17" s="17" t="n">
        <x:v>11.68260001577437</x:v>
      </x:c>
      <x:c r="S17" s="17" t="n">
        <x:v>14.715599827468395</x:v>
      </x:c>
      <x:c r="T17" s="16" t="n">
        <x:v>913</x:v>
      </x:c>
      <x:c r="U17" s="16" t="n">
        <x:v>829</x:v>
      </x:c>
      <x:c r="V17" s="16" t="str">
        <x:v>Ya</x:v>
      </x:c>
    </x:row>
    <x:row r="18" ht="46" customHeight="1">
      <x:c r="A18" s="13" t="str">
        <x:v>U11</x:v>
      </x:c>
      <x:c r="B18" s="13" t="str">
        <x:v>L03</x:v>
      </x:c>
      <x:c r="C18" s="13" t="str">
        <x:f>'Lokasi'!B10</x:f>
        <x:v>Jalan Tentara Pelajar</x:v>
      </x:c>
      <x:c r="D18" s="13" t="str">
        <x:v>sore</x:v>
      </x:c>
      <x:c r="E18" s="14" t="n">
        <x:f>IF('Lokasi'!F10="","",'Lokasi'!F10)</x:f>
        <x:v>-7.783391923119533</x:v>
      </x:c>
      <x:c r="F18" s="14" t="n">
        <x:f>IF('Lokasi'!G10="","",'Lokasi'!G10)</x:f>
        <x:v>110.36085404109025</x:v>
      </x:c>
      <x:c r="G18" s="15" t="n">
        <x:v>46295.42150204861</x:v>
      </x:c>
      <x:c r="H18" s="16" t="str">
        <x:v>Berhasil</x:v>
      </x:c>
      <x:c r="I18" s="16" t="str">
        <x:v>Rumah Sakit Dr Soetarto</x:v>
      </x:c>
      <x:c r="J18" s="17" t="n">
        <x:v>2754.7053283398527</x:v>
      </x:c>
      <x:c r="K18" s="17" t="n">
        <x:v>2.294833684719482</x:v>
      </x:c>
      <x:c r="L18" s="17" t="n">
        <x:v>391.35721951338206</x:v>
      </x:c>
      <x:c r="M18" s="17" t="n">
        <x:v>391.35721951338206</x:v>
      </x:c>
      <x:c r="N18" s="18" t="n">
        <x:f>IF(COUNT(L18:M18)&lt;2,"",ABS(L18-M18))</x:f>
        <x:v>0</x:v>
      </x:c>
      <x:c r="O18" s="13" t="str">
        <x:f>IF(COUNT(L18:M18)&lt;2,"",IF(ABS(L18-M18)&lt;=0.1,"Sama (≤0,1 dtk)","Periksa"))</x:f>
        <x:v>Sama (≤0,1 dtk)</x:v>
      </x:c>
      <x:c r="P18" s="16" t="str">
        <x:v>koordinat pengguna; akses fisik belum diverifikasi</x:v>
      </x:c>
      <x:c r="Q18" s="16" t="str">
        <x:v>hasil_batch.json (U11)</x:v>
      </x:c>
      <x:c r="R18" s="17" t="n">
        <x:v>13.429299928247929</x:v>
      </x:c>
      <x:c r="S18" s="17" t="n">
        <x:v>17.53930002450943</x:v>
      </x:c>
      <x:c r="T18" s="16" t="n">
        <x:v>888</x:v>
      </x:c>
      <x:c r="U18" s="16" t="n">
        <x:v>778</x:v>
      </x:c>
      <x:c r="V18" s="16" t="str">
        <x:v>Ya</x:v>
      </x:c>
    </x:row>
    <x:row r="19" ht="46" customHeight="1">
      <x:c r="A19" s="13" t="str">
        <x:v>U12</x:v>
      </x:c>
      <x:c r="B19" s="13" t="str">
        <x:v>L03</x:v>
      </x:c>
      <x:c r="C19" s="13" t="str">
        <x:f>'Lokasi'!B10</x:f>
        <x:v>Jalan Tentara Pelajar</x:v>
      </x:c>
      <x:c r="D19" s="13" t="str">
        <x:v>malam</x:v>
      </x:c>
      <x:c r="E19" s="14" t="n">
        <x:f>IF('Lokasi'!F10="","",'Lokasi'!F10)</x:f>
        <x:v>-7.783391923119533</x:v>
      </x:c>
      <x:c r="F19" s="14" t="n">
        <x:f>IF('Lokasi'!G10="","",'Lokasi'!G10)</x:f>
        <x:v>110.36085404109025</x:v>
      </x:c>
      <x:c r="G19" s="15" t="n">
        <x:v>46295.42154836805</x:v>
      </x:c>
      <x:c r="H19" s="16" t="str">
        <x:v>Berhasil</x:v>
      </x:c>
      <x:c r="I19" s="16" t="str">
        <x:v>Rumah Sakit Dr Soetarto</x:v>
      </x:c>
      <x:c r="J19" s="17" t="n">
        <x:v>2754.7053283398527</x:v>
      </x:c>
      <x:c r="K19" s="17" t="n">
        <x:v>2.294833684719482</x:v>
      </x:c>
      <x:c r="L19" s="17" t="n">
        <x:v>312.536786724158</x:v>
      </x:c>
      <x:c r="M19" s="17" t="n">
        <x:v>312.536786724158</x:v>
      </x:c>
      <x:c r="N19" s="18" t="n">
        <x:f>IF(COUNT(L19:M19)&lt;2,"",ABS(L19-M19))</x:f>
        <x:v>0</x:v>
      </x:c>
      <x:c r="O19" s="13" t="str">
        <x:f>IF(COUNT(L19:M19)&lt;2,"",IF(ABS(L19-M19)&lt;=0.1,"Sama (≤0,1 dtk)","Periksa"))</x:f>
        <x:v>Sama (≤0,1 dtk)</x:v>
      </x:c>
      <x:c r="P19" s="16" t="str">
        <x:v>koordinat pengguna; akses fisik belum diverifikasi</x:v>
      </x:c>
      <x:c r="Q19" s="16" t="str">
        <x:v>hasil_batch.json (U12)</x:v>
      </x:c>
      <x:c r="R19" s="17" t="n">
        <x:v>12.862300034612417</x:v>
      </x:c>
      <x:c r="S19" s="17" t="n">
        <x:v>12.915699975565076</x:v>
      </x:c>
      <x:c r="T19" s="16" t="n">
        <x:v>879</x:v>
      </x:c>
      <x:c r="U19" s="16" t="n">
        <x:v>669</x:v>
      </x:c>
      <x:c r="V19" s="16" t="str">
        <x:v>Ya</x:v>
      </x:c>
    </x:row>
    <x:row r="20" ht="46" customHeight="1">
      <x:c r="A20" s="13" t="str">
        <x:v>U13</x:v>
      </x:c>
      <x:c r="B20" s="13" t="str">
        <x:v>L04</x:v>
      </x:c>
      <x:c r="C20" s="13" t="str">
        <x:f>'Lokasi'!B11</x:f>
        <x:v>Stasiun Tugu Yogyakarta</x:v>
      </x:c>
      <x:c r="D20" s="13" t="str">
        <x:v>pagi</x:v>
      </x:c>
      <x:c r="E20" s="14" t="n">
        <x:f>IF('Lokasi'!F11="","",'Lokasi'!F11)</x:f>
        <x:v>-7.789991014449244</x:v>
      </x:c>
      <x:c r="F20" s="14" t="n">
        <x:f>IF('Lokasi'!G11="","",'Lokasi'!G11)</x:f>
        <x:v>110.36315928730939</x:v>
      </x:c>
      <x:c r="G20" s="15" t="n">
        <x:v>46295.42161924768</x:v>
      </x:c>
      <x:c r="H20" s="16" t="str">
        <x:v>Berhasil</x:v>
      </x:c>
      <x:c r="I20" s="16" t="str">
        <x:v>Rumah Sakit Ludira Husada Tama</x:v>
      </x:c>
      <x:c r="J20" s="17" t="n">
        <x:v>1398.902543700649</x:v>
      </x:c>
      <x:c r="K20" s="17" t="n">
        <x:v>0.00001860162408554915</x:v>
      </x:c>
      <x:c r="L20" s="17" t="n">
        <x:v>299.4093166388037</x:v>
      </x:c>
      <x:c r="M20" s="17" t="n">
        <x:v>299.4093166388037</x:v>
      </x:c>
      <x:c r="N20" s="18" t="n">
        <x:f>IF(COUNT(L20:M20)&lt;2,"",ABS(L20-M20))</x:f>
        <x:v>0</x:v>
      </x:c>
      <x:c r="O20" s="13" t="str">
        <x:f>IF(COUNT(L20:M20)&lt;2,"",IF(ABS(L20-M20)&lt;=0.1,"Sama (≤0,1 dtk)","Periksa"))</x:f>
        <x:v>Sama (≤0,1 dtk)</x:v>
      </x:c>
      <x:c r="P20" s="16" t="str">
        <x:v>titik jalan OSM otomatis dekat penanda; Jalan Pasar Kembang; jarak penanda 35.7 m; akses fisik belum diverifikasi</x:v>
      </x:c>
      <x:c r="Q20" s="16" t="str">
        <x:v>hasil_batch.json (U13)</x:v>
      </x:c>
      <x:c r="R20" s="17" t="n">
        <x:v>1.1748999822884798</x:v>
      </x:c>
      <x:c r="S20" s="17" t="n">
        <x:v>3.9664001669734716</x:v>
      </x:c>
      <x:c r="T20" s="16" t="n">
        <x:v>284</x:v>
      </x:c>
      <x:c r="U20" s="16" t="n">
        <x:v>243</x:v>
      </x:c>
      <x:c r="V20" s="16" t="str">
        <x:v>Ya</x:v>
      </x:c>
    </x:row>
    <x:row r="21" ht="46" customHeight="1">
      <x:c r="A21" s="13" t="str">
        <x:v>U14</x:v>
      </x:c>
      <x:c r="B21" s="13" t="str">
        <x:v>L04</x:v>
      </x:c>
      <x:c r="C21" s="13" t="str">
        <x:f>'Lokasi'!B11</x:f>
        <x:v>Stasiun Tugu Yogyakarta</x:v>
      </x:c>
      <x:c r="D21" s="13" t="str">
        <x:v>siang</x:v>
      </x:c>
      <x:c r="E21" s="14" t="n">
        <x:f>IF('Lokasi'!F11="","",'Lokasi'!F11)</x:f>
        <x:v>-7.789991014449244</x:v>
      </x:c>
      <x:c r="F21" s="14" t="n">
        <x:f>IF('Lokasi'!G11="","",'Lokasi'!G11)</x:f>
        <x:v>110.36315928730939</x:v>
      </x:c>
      <x:c r="G21" s="15" t="n">
        <x:v>46295.42165643519</x:v>
      </x:c>
      <x:c r="H21" s="16" t="str">
        <x:v>Berhasil</x:v>
      </x:c>
      <x:c r="I21" s="16" t="str">
        <x:v>Rumah Sakit Ludira Husada Tama</x:v>
      </x:c>
      <x:c r="J21" s="17" t="n">
        <x:v>1398.902543700649</x:v>
      </x:c>
      <x:c r="K21" s="17" t="n">
        <x:v>0.00001860162408554915</x:v>
      </x:c>
      <x:c r="L21" s="17" t="n">
        <x:v>251.51496181299612</x:v>
      </x:c>
      <x:c r="M21" s="17" t="n">
        <x:v>251.51496181299612</x:v>
      </x:c>
      <x:c r="N21" s="18" t="n">
        <x:f>IF(COUNT(L21:M21)&lt;2,"",ABS(L21-M21))</x:f>
        <x:v>0</x:v>
      </x:c>
      <x:c r="O21" s="13" t="str">
        <x:f>IF(COUNT(L21:M21)&lt;2,"",IF(ABS(L21-M21)&lt;=0.1,"Sama (≤0,1 dtk)","Periksa"))</x:f>
        <x:v>Sama (≤0,1 dtk)</x:v>
      </x:c>
      <x:c r="P21" s="16" t="str">
        <x:v>titik jalan OSM otomatis dekat penanda; Jalan Pasar Kembang; jarak penanda 35.7 m; akses fisik belum diverifikasi</x:v>
      </x:c>
      <x:c r="Q21" s="16" t="str">
        <x:v>hasil_batch.json (U14)</x:v>
      </x:c>
      <x:c r="R21" s="17" t="n">
        <x:v>1.5207999385893345</x:v>
      </x:c>
      <x:c r="S21" s="17" t="n">
        <x:v>4.114799899980426</x:v>
      </x:c>
      <x:c r="T21" s="16" t="n">
        <x:v>264</x:v>
      </x:c>
      <x:c r="U21" s="16" t="n">
        <x:v>229</x:v>
      </x:c>
      <x:c r="V21" s="16" t="str">
        <x:v>Ya</x:v>
      </x:c>
    </x:row>
    <x:row r="22" ht="46" customHeight="1">
      <x:c r="A22" s="13" t="str">
        <x:v>U15</x:v>
      </x:c>
      <x:c r="B22" s="13" t="str">
        <x:v>L04</x:v>
      </x:c>
      <x:c r="C22" s="13" t="str">
        <x:f>'Lokasi'!B11</x:f>
        <x:v>Stasiun Tugu Yogyakarta</x:v>
      </x:c>
      <x:c r="D22" s="13" t="str">
        <x:v>sore</x:v>
      </x:c>
      <x:c r="E22" s="14" t="n">
        <x:f>IF('Lokasi'!F11="","",'Lokasi'!F11)</x:f>
        <x:v>-7.789991014449244</x:v>
      </x:c>
      <x:c r="F22" s="14" t="n">
        <x:f>IF('Lokasi'!G11="","",'Lokasi'!G11)</x:f>
        <x:v>110.36315928730939</x:v>
      </x:c>
      <x:c r="G22" s="15" t="n">
        <x:v>46295.421694398145</x:v>
      </x:c>
      <x:c r="H22" s="16" t="str">
        <x:v>Berhasil</x:v>
      </x:c>
      <x:c r="I22" s="16" t="str">
        <x:v>Rumah Sakit Ludira Husada Tama</x:v>
      </x:c>
      <x:c r="J22" s="17" t="n">
        <x:v>1398.902543700649</x:v>
      </x:c>
      <x:c r="K22" s="17" t="n">
        <x:v>0.00001860162408554915</x:v>
      </x:c>
      <x:c r="L22" s="17" t="n">
        <x:v>295.7262521613808</x:v>
      </x:c>
      <x:c r="M22" s="17" t="n">
        <x:v>295.7262521613808</x:v>
      </x:c>
      <x:c r="N22" s="18" t="n">
        <x:f>IF(COUNT(L22:M22)&lt;2,"",ABS(L22-M22))</x:f>
        <x:v>0</x:v>
      </x:c>
      <x:c r="O22" s="13" t="str">
        <x:f>IF(COUNT(L22:M22)&lt;2,"",IF(ABS(L22-M22)&lt;=0.1,"Sama (≤0,1 dtk)","Periksa"))</x:f>
        <x:v>Sama (≤0,1 dtk)</x:v>
      </x:c>
      <x:c r="P22" s="16" t="str">
        <x:v>titik jalan OSM otomatis dekat penanda; Jalan Pasar Kembang; jarak penanda 35.7 m; akses fisik belum diverifikasi</x:v>
      </x:c>
      <x:c r="Q22" s="16" t="str">
        <x:v>hasil_batch.json (U15)</x:v>
      </x:c>
      <x:c r="R22" s="17" t="n">
        <x:v>1.1489000171422958</x:v>
      </x:c>
      <x:c r="S22" s="17" t="n">
        <x:v>6.895700003951788</x:v>
      </x:c>
      <x:c r="T22" s="16" t="n">
        <x:v>295</x:v>
      </x:c>
      <x:c r="U22" s="16" t="n">
        <x:v>277</x:v>
      </x:c>
      <x:c r="V22" s="16" t="str">
        <x:v>Ya</x:v>
      </x:c>
    </x:row>
    <x:row r="23" ht="46" customHeight="1">
      <x:c r="A23" s="13" t="str">
        <x:v>U16</x:v>
      </x:c>
      <x:c r="B23" s="13" t="str">
        <x:v>L04</x:v>
      </x:c>
      <x:c r="C23" s="13" t="str">
        <x:f>'Lokasi'!B11</x:f>
        <x:v>Stasiun Tugu Yogyakarta</x:v>
      </x:c>
      <x:c r="D23" s="13" t="str">
        <x:v>malam</x:v>
      </x:c>
      <x:c r="E23" s="14" t="n">
        <x:f>IF('Lokasi'!F11="","",'Lokasi'!F11)</x:f>
        <x:v>-7.789991014449244</x:v>
      </x:c>
      <x:c r="F23" s="14" t="n">
        <x:f>IF('Lokasi'!G11="","",'Lokasi'!G11)</x:f>
        <x:v>110.36315928730939</x:v>
      </x:c>
      <x:c r="G23" s="15" t="n">
        <x:v>46295.42173972222</x:v>
      </x:c>
      <x:c r="H23" s="16" t="str">
        <x:v>Berhasil</x:v>
      </x:c>
      <x:c r="I23" s="16" t="str">
        <x:v>Rumah Sakit Ludira Husada Tama</x:v>
      </x:c>
      <x:c r="J23" s="17" t="n">
        <x:v>1398.902543700649</x:v>
      </x:c>
      <x:c r="K23" s="17" t="n">
        <x:v>0.00001860162408554915</x:v>
      </x:c>
      <x:c r="L23" s="17" t="n">
        <x:v>187.8318973355733</x:v>
      </x:c>
      <x:c r="M23" s="17" t="n">
        <x:v>187.8318973355733</x:v>
      </x:c>
      <x:c r="N23" s="18" t="n">
        <x:f>IF(COUNT(L23:M23)&lt;2,"",ABS(L23-M23))</x:f>
        <x:v>0</x:v>
      </x:c>
      <x:c r="O23" s="13" t="str">
        <x:f>IF(COUNT(L23:M23)&lt;2,"",IF(ABS(L23-M23)&lt;=0.1,"Sama (≤0,1 dtk)","Periksa"))</x:f>
        <x:v>Sama (≤0,1 dtk)</x:v>
      </x:c>
      <x:c r="P23" s="16" t="str">
        <x:v>titik jalan OSM otomatis dekat penanda; Jalan Pasar Kembang; jarak penanda 35.7 m; akses fisik belum diverifikasi</x:v>
      </x:c>
      <x:c r="Q23" s="16" t="str">
        <x:v>hasil_batch.json (U16)</x:v>
      </x:c>
      <x:c r="R23" s="17" t="n">
        <x:v>1.3230000622570515</x:v>
      </x:c>
      <x:c r="S23" s="17" t="n">
        <x:v>3.903500037267804</x:v>
      </x:c>
      <x:c r="T23" s="16" t="n">
        <x:v>247</x:v>
      </x:c>
      <x:c r="U23" s="16" t="n">
        <x:v>216</x:v>
      </x:c>
      <x:c r="V23" s="16" t="str">
        <x:v>Ya</x:v>
      </x:c>
    </x:row>
    <x:row r="24" ht="46" customHeight="1">
      <x:c r="A24" s="13" t="str">
        <x:v>U17</x:v>
      </x:c>
      <x:c r="B24" s="13" t="str">
        <x:v>L05</x:v>
      </x:c>
      <x:c r="C24" s="13" t="str">
        <x:f>'Lokasi'!B12</x:f>
        <x:v>Malioboro Mall</x:v>
      </x:c>
      <x:c r="D24" s="13" t="str">
        <x:v>pagi</x:v>
      </x:c>
      <x:c r="E24" s="14" t="n">
        <x:f>IF('Lokasi'!F12="","",'Lokasi'!F12)</x:f>
        <x:v>-7.793033115831299</x:v>
      </x:c>
      <x:c r="F24" s="14" t="n">
        <x:f>IF('Lokasi'!G12="","",'Lokasi'!G12)</x:f>
        <x:v>110.36750832200028</x:v>
      </x:c>
      <x:c r="G24" s="15" t="n">
        <x:v>46295.4218062963</x:v>
      </x:c>
      <x:c r="H24" s="16" t="str">
        <x:v>Berhasil</x:v>
      </x:c>
      <x:c r="I24" s="16" t="str">
        <x:v>Rumah Sakit Ludira Husada Tama</x:v>
      </x:c>
      <x:c r="J24" s="17" t="n">
        <x:v>2210.79706249972</x:v>
      </x:c>
      <x:c r="K24" s="17" t="n">
        <x:v>0.000018655653247954235</x:v>
      </x:c>
      <x:c r="L24" s="17" t="n">
        <x:v>563.5839433525845</x:v>
      </x:c>
      <x:c r="M24" s="17" t="n">
        <x:v>563.5839433525845</x:v>
      </x:c>
      <x:c r="N24" s="18" t="n">
        <x:f>IF(COUNT(L24:M24)&lt;2,"",ABS(L24-M24))</x:f>
        <x:v>0</x:v>
      </x:c>
      <x:c r="O24" s="13" t="str">
        <x:f>IF(COUNT(L24:M24)&lt;2,"",IF(ABS(L24-M24)&lt;=0.1,"Sama (≤0,1 dtk)","Periksa"))</x:f>
        <x:v>Sama (≤0,1 dtk)</x:v>
      </x:c>
      <x:c r="P24" s="16" t="str">
        <x:v>titik jalan OSM otomatis dekat penanda; jalan tanpa nama OSM; jarak penanda 100.3 m; akses fisik belum diverifikasi</x:v>
      </x:c>
      <x:c r="Q24" s="16" t="str">
        <x:v>hasil_batch.json (U17)</x:v>
      </x:c>
      <x:c r="R24" s="17" t="n">
        <x:v>1.4014001935720444</x:v>
      </x:c>
      <x:c r="S24" s="17" t="n">
        <x:v>4.990899935364723</x:v>
      </x:c>
      <x:c r="T24" s="16" t="n">
        <x:v>346</x:v>
      </x:c>
      <x:c r="U24" s="16" t="n">
        <x:v>305</x:v>
      </x:c>
      <x:c r="V24" s="16" t="str">
        <x:v>Ya</x:v>
      </x:c>
    </x:row>
    <x:row r="25" ht="46" customHeight="1">
      <x:c r="A25" s="13" t="str">
        <x:v>U18</x:v>
      </x:c>
      <x:c r="B25" s="13" t="str">
        <x:v>L05</x:v>
      </x:c>
      <x:c r="C25" s="13" t="str">
        <x:f>'Lokasi'!B12</x:f>
        <x:v>Malioboro Mall</x:v>
      </x:c>
      <x:c r="D25" s="13" t="str">
        <x:v>siang</x:v>
      </x:c>
      <x:c r="E25" s="14" t="n">
        <x:f>IF('Lokasi'!F12="","",'Lokasi'!F12)</x:f>
        <x:v>-7.793033115831299</x:v>
      </x:c>
      <x:c r="F25" s="14" t="n">
        <x:f>IF('Lokasi'!G12="","",'Lokasi'!G12)</x:f>
        <x:v>110.36750832200028</x:v>
      </x:c>
      <x:c r="G25" s="15" t="n">
        <x:v>46295.42184372685</x:v>
      </x:c>
      <x:c r="H25" s="16" t="str">
        <x:v>Berhasil</x:v>
      </x:c>
      <x:c r="I25" s="16" t="str">
        <x:v>Rumah Sakit Ludira Husada Tama</x:v>
      </x:c>
      <x:c r="J25" s="17" t="n">
        <x:v>2210.79706249972</x:v>
      </x:c>
      <x:c r="K25" s="17" t="n">
        <x:v>0.000018655653247954235</x:v>
      </x:c>
      <x:c r="L25" s="17" t="n">
        <x:v>475.35867240929156</x:v>
      </x:c>
      <x:c r="M25" s="17" t="n">
        <x:v>475.35867240929156</x:v>
      </x:c>
      <x:c r="N25" s="18" t="n">
        <x:f>IF(COUNT(L25:M25)&lt;2,"",ABS(L25-M25))</x:f>
        <x:v>0</x:v>
      </x:c>
      <x:c r="O25" s="13" t="str">
        <x:f>IF(COUNT(L25:M25)&lt;2,"",IF(ABS(L25-M25)&lt;=0.1,"Sama (≤0,1 dtk)","Periksa"))</x:f>
        <x:v>Sama (≤0,1 dtk)</x:v>
      </x:c>
      <x:c r="P25" s="16" t="str">
        <x:v>titik jalan OSM otomatis dekat penanda; jalan tanpa nama OSM; jarak penanda 100.3 m; akses fisik belum diverifikasi</x:v>
      </x:c>
      <x:c r="Q25" s="16" t="str">
        <x:v>hasil_batch.json (U18)</x:v>
      </x:c>
      <x:c r="R25" s="17" t="n">
        <x:v>1.298899995163083</x:v>
      </x:c>
      <x:c r="S25" s="17" t="n">
        <x:v>4.8923001158982515</x:v>
      </x:c>
      <x:c r="T25" s="16" t="n">
        <x:v>326</x:v>
      </x:c>
      <x:c r="U25" s="16" t="n">
        <x:v>291</x:v>
      </x:c>
      <x:c r="V25" s="16" t="str">
        <x:v>Ya</x:v>
      </x:c>
    </x:row>
    <x:row r="26" ht="46" customHeight="1">
      <x:c r="A26" s="13" t="str">
        <x:v>U19</x:v>
      </x:c>
      <x:c r="B26" s="13" t="str">
        <x:v>L05</x:v>
      </x:c>
      <x:c r="C26" s="13" t="str">
        <x:f>'Lokasi'!B12</x:f>
        <x:v>Malioboro Mall</x:v>
      </x:c>
      <x:c r="D26" s="13" t="str">
        <x:v>sore</x:v>
      </x:c>
      <x:c r="E26" s="14" t="n">
        <x:f>IF('Lokasi'!F12="","",'Lokasi'!F12)</x:f>
        <x:v>-7.793033115831299</x:v>
      </x:c>
      <x:c r="F26" s="14" t="n">
        <x:f>IF('Lokasi'!G12="","",'Lokasi'!G12)</x:f>
        <x:v>110.36750832200028</x:v>
      </x:c>
      <x:c r="G26" s="15" t="n">
        <x:v>46295.42188274305</x:v>
      </x:c>
      <x:c r="H26" s="16" t="str">
        <x:v>Berhasil</x:v>
      </x:c>
      <x:c r="I26" s="16" t="str">
        <x:v>Rumah Sakit Ludira Husada Tama</x:v>
      </x:c>
      <x:c r="J26" s="17" t="n">
        <x:v>2210.79706249972</x:v>
      </x:c>
      <x:c r="K26" s="17" t="n">
        <x:v>0.000018655653247954235</x:v>
      </x:c>
      <x:c r="L26" s="17" t="n">
        <x:v>528.2575017174704</x:v>
      </x:c>
      <x:c r="M26" s="17" t="n">
        <x:v>528.2575017174704</x:v>
      </x:c>
      <x:c r="N26" s="18" t="n">
        <x:f>IF(COUNT(L26:M26)&lt;2,"",ABS(L26-M26))</x:f>
        <x:v>0</x:v>
      </x:c>
      <x:c r="O26" s="13" t="str">
        <x:f>IF(COUNT(L26:M26)&lt;2,"",IF(ABS(L26-M26)&lt;=0.1,"Sama (≤0,1 dtk)","Periksa"))</x:f>
        <x:v>Sama (≤0,1 dtk)</x:v>
      </x:c>
      <x:c r="P26" s="16" t="str">
        <x:v>titik jalan OSM otomatis dekat penanda; jalan tanpa nama OSM; jarak penanda 100.3 m; akses fisik belum diverifikasi</x:v>
      </x:c>
      <x:c r="Q26" s="16" t="str">
        <x:v>hasil_batch.json (U19)</x:v>
      </x:c>
      <x:c r="R26" s="17" t="n">
        <x:v>1.4247000217437744</x:v>
      </x:c>
      <x:c r="S26" s="17" t="n">
        <x:v>6.7662999499589205</x:v>
      </x:c>
      <x:c r="T26" s="16" t="n">
        <x:v>357</x:v>
      </x:c>
      <x:c r="U26" s="16" t="n">
        <x:v>339</x:v>
      </x:c>
      <x:c r="V26" s="16" t="str">
        <x:v>Ya</x:v>
      </x:c>
    </x:row>
    <x:row r="27" ht="46" customHeight="1">
      <x:c r="A27" s="13" t="str">
        <x:v>U20</x:v>
      </x:c>
      <x:c r="B27" s="13" t="str">
        <x:v>L05</x:v>
      </x:c>
      <x:c r="C27" s="13" t="str">
        <x:f>'Lokasi'!B12</x:f>
        <x:v>Malioboro Mall</x:v>
      </x:c>
      <x:c r="D27" s="13" t="str">
        <x:v>malam</x:v>
      </x:c>
      <x:c r="E27" s="14" t="n">
        <x:f>IF('Lokasi'!F12="","",'Lokasi'!F12)</x:f>
        <x:v>-7.793033115831299</x:v>
      </x:c>
      <x:c r="F27" s="14" t="n">
        <x:f>IF('Lokasi'!G12="","",'Lokasi'!G12)</x:f>
        <x:v>110.36750832200028</x:v>
      </x:c>
      <x:c r="G27" s="15" t="n">
        <x:v>46295.4219215625</x:v>
      </x:c>
      <x:c r="H27" s="16" t="str">
        <x:v>Berhasil</x:v>
      </x:c>
      <x:c r="I27" s="16" t="str">
        <x:v>Rumah Sakit Ludira Husada Tama</x:v>
      </x:c>
      <x:c r="J27" s="17" t="n">
        <x:v>2210.79706249972</x:v>
      </x:c>
      <x:c r="K27" s="17" t="n">
        <x:v>0.000018655653247954235</x:v>
      </x:c>
      <x:c r="L27" s="17" t="n">
        <x:v>320.76724568149564</x:v>
      </x:c>
      <x:c r="M27" s="17" t="n">
        <x:v>320.76724568149564</x:v>
      </x:c>
      <x:c r="N27" s="18" t="n">
        <x:f>IF(COUNT(L27:M27)&lt;2,"",ABS(L27-M27))</x:f>
        <x:v>0</x:v>
      </x:c>
      <x:c r="O27" s="13" t="str">
        <x:f>IF(COUNT(L27:M27)&lt;2,"",IF(ABS(L27-M27)&lt;=0.1,"Sama (≤0,1 dtk)","Periksa"))</x:f>
        <x:v>Sama (≤0,1 dtk)</x:v>
      </x:c>
      <x:c r="P27" s="16" t="str">
        <x:v>titik jalan OSM otomatis dekat penanda; jalan tanpa nama OSM; jarak penanda 100.3 m; akses fisik belum diverifikasi</x:v>
      </x:c>
      <x:c r="Q27" s="16" t="str">
        <x:v>hasil_batch.json (U20)</x:v>
      </x:c>
      <x:c r="R27" s="17" t="n">
        <x:v>1.2971998658031225</x:v>
      </x:c>
      <x:c r="S27" s="17" t="n">
        <x:v>7.158000022172928</x:v>
      </x:c>
      <x:c r="T27" s="16" t="n">
        <x:v>309</x:v>
      </x:c>
      <x:c r="U27" s="16" t="n">
        <x:v>278</x:v>
      </x:c>
      <x:c r="V27" s="16" t="str">
        <x:v>Ya</x:v>
      </x:c>
    </x:row>
    <x:row r="28" ht="46" customHeight="1">
      <x:c r="A28" s="13" t="str">
        <x:v>U21</x:v>
      </x:c>
      <x:c r="B28" s="13" t="str">
        <x:v>L06</x:v>
      </x:c>
      <x:c r="C28" s="13" t="str">
        <x:f>'Lokasi'!B13</x:f>
        <x:v>Kantor Pos Kotagede</x:v>
      </x:c>
      <x:c r="D28" s="13" t="str">
        <x:v>pagi</x:v>
      </x:c>
      <x:c r="E28" s="14" t="n">
        <x:f>IF('Lokasi'!F13="","",'Lokasi'!F13)</x:f>
        <x:v>-7.827445359455721</x:v>
      </x:c>
      <x:c r="F28" s="14" t="n">
        <x:f>IF('Lokasi'!G13="","",'Lokasi'!G13)</x:f>
        <x:v>110.40042313205872</x:v>
      </x:c>
      <x:c r="G28" s="15" t="n">
        <x:v>46295.42198864583</x:v>
      </x:c>
      <x:c r="H28" s="16" t="str">
        <x:v>Berhasil</x:v>
      </x:c>
      <x:c r="I28" s="16" t="str">
        <x:v>Rumah Sakit Rajawali Citra</x:v>
      </x:c>
      <x:c r="J28" s="17" t="n">
        <x:v>3533.2368133066416</x:v>
      </x:c>
      <x:c r="K28" s="17" t="n">
        <x:v>9.067238400698299e-7</x:v>
      </x:c>
      <x:c r="L28" s="17" t="n">
        <x:v>540.8047012588905</x:v>
      </x:c>
      <x:c r="M28" s="17" t="n">
        <x:v>540.8047012588905</x:v>
      </x:c>
      <x:c r="N28" s="18" t="n">
        <x:f>IF(COUNT(L28:M28)&lt;2,"",ABS(L28-M28))</x:f>
        <x:v>0</x:v>
      </x:c>
      <x:c r="O28" s="13" t="str">
        <x:f>IF(COUNT(L28:M28)&lt;2,"",IF(ABS(L28-M28)&lt;=0.1,"Sama (≤0,1 dtk)","Periksa"))</x:f>
        <x:v>Sama (≤0,1 dtk)</x:v>
      </x:c>
      <x:c r="P28" s="16" t="str">
        <x:v>titik jalan OSM otomatis dekat penanda; Jalan Kemasan; jarak penanda 9.1 m; akses fisik belum diverifikasi</x:v>
      </x:c>
      <x:c r="Q28" s="16" t="str">
        <x:v>hasil_batch.json (U21)</x:v>
      </x:c>
      <x:c r="R28" s="17" t="n">
        <x:v>36.87820001505315</x:v>
      </x:c>
      <x:c r="S28" s="17" t="n">
        <x:v>44.460299890488386</x:v>
      </x:c>
      <x:c r="T28" s="16" t="n">
        <x:v>3781</x:v>
      </x:c>
      <x:c r="U28" s="16" t="n">
        <x:v>2678</x:v>
      </x:c>
      <x:c r="V28" s="16" t="str">
        <x:v>Ya</x:v>
      </x:c>
    </x:row>
    <x:row r="29" ht="46" customHeight="1">
      <x:c r="A29" s="13" t="str">
        <x:v>U22</x:v>
      </x:c>
      <x:c r="B29" s="13" t="str">
        <x:v>L06</x:v>
      </x:c>
      <x:c r="C29" s="13" t="str">
        <x:f>'Lokasi'!B13</x:f>
        <x:v>Kantor Pos Kotagede</x:v>
      </x:c>
      <x:c r="D29" s="13" t="str">
        <x:v>siang</x:v>
      </x:c>
      <x:c r="E29" s="14" t="n">
        <x:f>IF('Lokasi'!F13="","",'Lokasi'!F13)</x:f>
        <x:v>-7.827445359455721</x:v>
      </x:c>
      <x:c r="F29" s="14" t="n">
        <x:f>IF('Lokasi'!G13="","",'Lokasi'!G13)</x:f>
        <x:v>110.40042313205872</x:v>
      </x:c>
      <x:c r="G29" s="15" t="n">
        <x:v>46295.42203228009</x:v>
      </x:c>
      <x:c r="H29" s="16" t="str">
        <x:v>Berhasil</x:v>
      </x:c>
      <x:c r="I29" s="16" t="str">
        <x:v>RS Jogja</x:v>
      </x:c>
      <x:c r="J29" s="17" t="n">
        <x:v>2714.1847964907747</x:v>
      </x:c>
      <x:c r="K29" s="17" t="n">
        <x:v>9.067238400698299e-7</x:v>
      </x:c>
      <x:c r="L29" s="17" t="n">
        <x:v>471.26398061802627</x:v>
      </x:c>
      <x:c r="M29" s="17" t="n">
        <x:v>471.26398061802627</x:v>
      </x:c>
      <x:c r="N29" s="18" t="n">
        <x:f>IF(COUNT(L29:M29)&lt;2,"",ABS(L29-M29))</x:f>
        <x:v>0</x:v>
      </x:c>
      <x:c r="O29" s="13" t="str">
        <x:f>IF(COUNT(L29:M29)&lt;2,"",IF(ABS(L29-M29)&lt;=0.1,"Sama (≤0,1 dtk)","Periksa"))</x:f>
        <x:v>Sama (≤0,1 dtk)</x:v>
      </x:c>
      <x:c r="P29" s="16" t="str">
        <x:v>titik jalan OSM otomatis dekat penanda; Jalan Kemasan; jarak penanda 9.1 m; akses fisik belum diverifikasi</x:v>
      </x:c>
      <x:c r="Q29" s="16" t="str">
        <x:v>hasil_batch.json (U22)</x:v>
      </x:c>
      <x:c r="R29" s="17" t="n">
        <x:v>23.264599964022636</x:v>
      </x:c>
      <x:c r="S29" s="17" t="n">
        <x:v>37.44520014151931</x:v>
      </x:c>
      <x:c r="T29" s="16" t="n">
        <x:v>3378</x:v>
      </x:c>
      <x:c r="U29" s="16" t="n">
        <x:v>2410</x:v>
      </x:c>
      <x:c r="V29" s="16" t="str">
        <x:v>Ya</x:v>
      </x:c>
    </x:row>
    <x:row r="30" ht="46" customHeight="1">
      <x:c r="A30" s="13" t="str">
        <x:v>U23</x:v>
      </x:c>
      <x:c r="B30" s="13" t="str">
        <x:v>L06</x:v>
      </x:c>
      <x:c r="C30" s="13" t="str">
        <x:f>'Lokasi'!B13</x:f>
        <x:v>Kantor Pos Kotagede</x:v>
      </x:c>
      <x:c r="D30" s="13" t="str">
        <x:v>sore</x:v>
      </x:c>
      <x:c r="E30" s="14" t="n">
        <x:f>IF('Lokasi'!F13="","",'Lokasi'!F13)</x:f>
        <x:v>-7.827445359455721</x:v>
      </x:c>
      <x:c r="F30" s="14" t="n">
        <x:f>IF('Lokasi'!G13="","",'Lokasi'!G13)</x:f>
        <x:v>110.40042313205872</x:v>
      </x:c>
      <x:c r="G30" s="15" t="n">
        <x:v>46295.42206621527</x:v>
      </x:c>
      <x:c r="H30" s="16" t="str">
        <x:v>Berhasil</x:v>
      </x:c>
      <x:c r="I30" s="16" t="str">
        <x:v>Rumah Sakit Rajawali Citra</x:v>
      </x:c>
      <x:c r="J30" s="17" t="n">
        <x:v>3536.0861259700337</x:v>
      </x:c>
      <x:c r="K30" s="17" t="n">
        <x:v>9.067238400698299e-7</x:v>
      </x:c>
      <x:c r="L30" s="17" t="n">
        <x:v>481.66502410608064</x:v>
      </x:c>
      <x:c r="M30" s="17" t="n">
        <x:v>481.66502410608064</x:v>
      </x:c>
      <x:c r="N30" s="18" t="n">
        <x:f>IF(COUNT(L30:M30)&lt;2,"",ABS(L30-M30))</x:f>
        <x:v>0</x:v>
      </x:c>
      <x:c r="O30" s="13" t="str">
        <x:f>IF(COUNT(L30:M30)&lt;2,"",IF(ABS(L30-M30)&lt;=0.1,"Sama (≤0,1 dtk)","Periksa"))</x:f>
        <x:v>Sama (≤0,1 dtk)</x:v>
      </x:c>
      <x:c r="P30" s="16" t="str">
        <x:v>titik jalan OSM otomatis dekat penanda; Jalan Kemasan; jarak penanda 9.1 m; akses fisik belum diverifikasi</x:v>
      </x:c>
      <x:c r="Q30" s="16" t="str">
        <x:v>hasil_batch.json (U23)</x:v>
      </x:c>
      <x:c r="R30" s="17" t="n">
        <x:v>25.305899791419506</x:v>
      </x:c>
      <x:c r="S30" s="17" t="n">
        <x:v>45.39490002207458</x:v>
      </x:c>
      <x:c r="T30" s="16" t="n">
        <x:v>3736</x:v>
      </x:c>
      <x:c r="U30" s="16" t="n">
        <x:v>2772</x:v>
      </x:c>
      <x:c r="V30" s="16" t="str">
        <x:v>Ya</x:v>
      </x:c>
    </x:row>
    <x:row r="31" ht="46" customHeight="1">
      <x:c r="A31" s="13" t="str">
        <x:v>U24</x:v>
      </x:c>
      <x:c r="B31" s="13" t="str">
        <x:v>L06</x:v>
      </x:c>
      <x:c r="C31" s="13" t="str">
        <x:f>'Lokasi'!B13</x:f>
        <x:v>Kantor Pos Kotagede</x:v>
      </x:c>
      <x:c r="D31" s="13" t="str">
        <x:v>malam</x:v>
      </x:c>
      <x:c r="E31" s="14" t="n">
        <x:f>IF('Lokasi'!F13="","",'Lokasi'!F13)</x:f>
        <x:v>-7.827445359455721</x:v>
      </x:c>
      <x:c r="F31" s="14" t="n">
        <x:f>IF('Lokasi'!G13="","",'Lokasi'!G13)</x:f>
        <x:v>110.40042313205872</x:v>
      </x:c>
      <x:c r="G31" s="15" t="n">
        <x:v>46295.42210467593</x:v>
      </x:c>
      <x:c r="H31" s="16" t="str">
        <x:v>Berhasil</x:v>
      </x:c>
      <x:c r="I31" s="16" t="str">
        <x:v>RS Jogja</x:v>
      </x:c>
      <x:c r="J31" s="17" t="n">
        <x:v>2714.1847964907747</x:v>
      </x:c>
      <x:c r="K31" s="17" t="n">
        <x:v>9.067238400698299e-7</x:v>
      </x:c>
      <x:c r="L31" s="17" t="n">
        <x:v>353.42526823131004</x:v>
      </x:c>
      <x:c r="M31" s="17" t="n">
        <x:v>353.42526823131004</x:v>
      </x:c>
      <x:c r="N31" s="18" t="n">
        <x:f>IF(COUNT(L31:M31)&lt;2,"",ABS(L31-M31))</x:f>
        <x:v>0</x:v>
      </x:c>
      <x:c r="O31" s="13" t="str">
        <x:f>IF(COUNT(L31:M31)&lt;2,"",IF(ABS(L31-M31)&lt;=0.1,"Sama (≤0,1 dtk)","Periksa"))</x:f>
        <x:v>Sama (≤0,1 dtk)</x:v>
      </x:c>
      <x:c r="P31" s="16" t="str">
        <x:v>titik jalan OSM otomatis dekat penanda; Jalan Kemasan; jarak penanda 9.1 m; akses fisik belum diverifikasi</x:v>
      </x:c>
      <x:c r="Q31" s="16" t="str">
        <x:v>hasil_batch.json (U24)</x:v>
      </x:c>
      <x:c r="R31" s="17" t="n">
        <x:v>23.00660009495914</x:v>
      </x:c>
      <x:c r="S31" s="17" t="n">
        <x:v>28.698100009933114</x:v>
      </x:c>
      <x:c r="T31" s="16" t="n">
        <x:v>3015</x:v>
      </x:c>
      <x:c r="U31" s="16" t="n">
        <x:v>1793</x:v>
      </x:c>
      <x:c r="V31" s="16" t="str">
        <x:v>Ya</x:v>
      </x:c>
    </x:row>
    <x:row r="32" ht="46" customHeight="1">
      <x:c r="A32" s="13" t="str">
        <x:v>U25</x:v>
      </x:c>
      <x:c r="B32" s="13" t="str">
        <x:v>L07</x:v>
      </x:c>
      <x:c r="C32" s="13" t="str">
        <x:f>'Lokasi'!B14</x:f>
        <x:v>Terminal Giwangan</x:v>
      </x:c>
      <x:c r="D32" s="13" t="str">
        <x:v>pagi</x:v>
      </x:c>
      <x:c r="E32" s="14" t="n">
        <x:f>IF('Lokasi'!F14="","",'Lokasi'!F14)</x:f>
        <x:v>-7.835302371488561</x:v>
      </x:c>
      <x:c r="F32" s="14" t="n">
        <x:f>IF('Lokasi'!G14="","",'Lokasi'!G14)</x:f>
        <x:v>110.39278720095895</x:v>
      </x:c>
      <x:c r="G32" s="15" t="n">
        <x:v>46295.422180104164</x:v>
      </x:c>
      <x:c r="H32" s="16" t="str">
        <x:v>Berhasil</x:v>
      </x:c>
      <x:c r="I32" s="16" t="str">
        <x:v>RS Jogja</x:v>
      </x:c>
      <x:c r="J32" s="17" t="n">
        <x:v>2783.7707059827</x:v>
      </x:c>
      <x:c r="K32" s="17" t="n">
        <x:v>0.0000032652503922810887</x:v>
      </x:c>
      <x:c r="L32" s="17" t="n">
        <x:v>630.6599196862875</x:v>
      </x:c>
      <x:c r="M32" s="17" t="n">
        <x:v>630.6599196862875</x:v>
      </x:c>
      <x:c r="N32" s="18" t="n">
        <x:f>IF(COUNT(L32:M32)&lt;2,"",ABS(L32-M32))</x:f>
        <x:v>0</x:v>
      </x:c>
      <x:c r="O32" s="13" t="str">
        <x:f>IF(COUNT(L32:M32)&lt;2,"",IF(ABS(L32-M32)&lt;=0.1,"Sama (≤0,1 dtk)","Periksa"))</x:f>
        <x:v>Sama (≤0,1 dtk)</x:v>
      </x:c>
      <x:c r="P32" s="16" t="str">
        <x:v>titik jalan OSM otomatis dekat penanda; jalan tanpa nama OSM; jarak penanda 10.2 m; akses fisik belum diverifikasi</x:v>
      </x:c>
      <x:c r="Q32" s="16" t="str">
        <x:v>hasil_batch.json (U25)</x:v>
      </x:c>
      <x:c r="R32" s="17" t="n">
        <x:v>10.276899905875325</x:v>
      </x:c>
      <x:c r="S32" s="17" t="n">
        <x:v>27.65549998730421</x:v>
      </x:c>
      <x:c r="T32" s="16" t="n">
        <x:v>2319</x:v>
      </x:c>
      <x:c r="U32" s="16" t="n">
        <x:v>1907</x:v>
      </x:c>
      <x:c r="V32" s="16" t="str">
        <x:v>Ya</x:v>
      </x:c>
    </x:row>
    <x:row r="33" ht="46" customHeight="1">
      <x:c r="A33" s="13" t="str">
        <x:v>U26</x:v>
      </x:c>
      <x:c r="B33" s="13" t="str">
        <x:v>L07</x:v>
      </x:c>
      <x:c r="C33" s="13" t="str">
        <x:f>'Lokasi'!B14</x:f>
        <x:v>Terminal Giwangan</x:v>
      </x:c>
      <x:c r="D33" s="13" t="str">
        <x:v>siang</x:v>
      </x:c>
      <x:c r="E33" s="14" t="n">
        <x:f>IF('Lokasi'!F14="","",'Lokasi'!F14)</x:f>
        <x:v>-7.835302371488561</x:v>
      </x:c>
      <x:c r="F33" s="14" t="n">
        <x:f>IF('Lokasi'!G14="","",'Lokasi'!G14)</x:f>
        <x:v>110.39278720095895</x:v>
      </x:c>
      <x:c r="G33" s="15" t="n">
        <x:v>46295.422219594904</x:v>
      </x:c>
      <x:c r="H33" s="16" t="str">
        <x:v>Berhasil</x:v>
      </x:c>
      <x:c r="I33" s="16" t="str">
        <x:v>RS Jogja</x:v>
      </x:c>
      <x:c r="J33" s="17" t="n">
        <x:v>2783.7707059827</x:v>
      </x:c>
      <x:c r="K33" s="17" t="n">
        <x:v>0.0000032652503922810887</x:v>
      </x:c>
      <x:c r="L33" s="17" t="n">
        <x:v>547.6858564902683</x:v>
      </x:c>
      <x:c r="M33" s="17" t="n">
        <x:v>547.6858564902683</x:v>
      </x:c>
      <x:c r="N33" s="18" t="n">
        <x:f>IF(COUNT(L33:M33)&lt;2,"",ABS(L33-M33))</x:f>
        <x:v>0</x:v>
      </x:c>
      <x:c r="O33" s="13" t="str">
        <x:f>IF(COUNT(L33:M33)&lt;2,"",IF(ABS(L33-M33)&lt;=0.1,"Sama (≤0,1 dtk)","Periksa"))</x:f>
        <x:v>Sama (≤0,1 dtk)</x:v>
      </x:c>
      <x:c r="P33" s="16" t="str">
        <x:v>titik jalan OSM otomatis dekat penanda; jalan tanpa nama OSM; jarak penanda 10.2 m; akses fisik belum diverifikasi</x:v>
      </x:c>
      <x:c r="Q33" s="16" t="str">
        <x:v>hasil_batch.json (U26)</x:v>
      </x:c>
      <x:c r="R33" s="17" t="n">
        <x:v>9.48840007185936</x:v>
      </x:c>
      <x:c r="S33" s="17" t="n">
        <x:v>25.8711997885257</x:v>
      </x:c>
      <x:c r="T33" s="16" t="n">
        <x:v>2142</x:v>
      </x:c>
      <x:c r="U33" s="16" t="n">
        <x:v>1743</x:v>
      </x:c>
      <x:c r="V33" s="16" t="str">
        <x:v>Ya</x:v>
      </x:c>
    </x:row>
    <x:row r="34" ht="46" customHeight="1">
      <x:c r="A34" s="13" t="str">
        <x:v>U27</x:v>
      </x:c>
      <x:c r="B34" s="13" t="str">
        <x:v>L07</x:v>
      </x:c>
      <x:c r="C34" s="13" t="str">
        <x:f>'Lokasi'!B14</x:f>
        <x:v>Terminal Giwangan</x:v>
      </x:c>
      <x:c r="D34" s="13" t="str">
        <x:v>sore</x:v>
      </x:c>
      <x:c r="E34" s="14" t="n">
        <x:f>IF('Lokasi'!F14="","",'Lokasi'!F14)</x:f>
        <x:v>-7.835302371488561</x:v>
      </x:c>
      <x:c r="F34" s="14" t="n">
        <x:f>IF('Lokasi'!G14="","",'Lokasi'!G14)</x:f>
        <x:v>110.39278720095895</x:v>
      </x:c>
      <x:c r="G34" s="15" t="n">
        <x:v>46295.42225805556</x:v>
      </x:c>
      <x:c r="H34" s="16" t="str">
        <x:v>Berhasil</x:v>
      </x:c>
      <x:c r="I34" s="16" t="str">
        <x:v>RS Jogja</x:v>
      </x:c>
      <x:c r="J34" s="17" t="n">
        <x:v>2783.7707059827</x:v>
      </x:c>
      <x:c r="K34" s="17" t="n">
        <x:v>0.0000032652503922810887</x:v>
      </x:c>
      <x:c r="L34" s="17" t="n">
        <x:v>570.0919781862655</x:v>
      </x:c>
      <x:c r="M34" s="17" t="n">
        <x:v>570.0919781862655</x:v>
      </x:c>
      <x:c r="N34" s="18" t="n">
        <x:f>IF(COUNT(L34:M34)&lt;2,"",ABS(L34-M34))</x:f>
        <x:v>0</x:v>
      </x:c>
      <x:c r="O34" s="13" t="str">
        <x:f>IF(COUNT(L34:M34)&lt;2,"",IF(ABS(L34-M34)&lt;=0.1,"Sama (≤0,1 dtk)","Periksa"))</x:f>
        <x:v>Sama (≤0,1 dtk)</x:v>
      </x:c>
      <x:c r="P34" s="16" t="str">
        <x:v>titik jalan OSM otomatis dekat penanda; jalan tanpa nama OSM; jarak penanda 10.2 m; akses fisik belum diverifikasi</x:v>
      </x:c>
      <x:c r="Q34" s="16" t="str">
        <x:v>hasil_batch.json (U27)</x:v>
      </x:c>
      <x:c r="R34" s="17" t="n">
        <x:v>14.016499975696206</x:v>
      </x:c>
      <x:c r="S34" s="17" t="n">
        <x:v>35.28139996342361</x:v>
      </x:c>
      <x:c r="T34" s="16" t="n">
        <x:v>2366</x:v>
      </x:c>
      <x:c r="U34" s="16" t="n">
        <x:v>1956</x:v>
      </x:c>
      <x:c r="V34" s="16" t="str">
        <x:v>Ya</x:v>
      </x:c>
    </x:row>
    <x:row r="35" ht="46" customHeight="1">
      <x:c r="A35" s="13" t="str">
        <x:v>U28</x:v>
      </x:c>
      <x:c r="B35" s="13" t="str">
        <x:v>L07</x:v>
      </x:c>
      <x:c r="C35" s="13" t="str">
        <x:f>'Lokasi'!B14</x:f>
        <x:v>Terminal Giwangan</x:v>
      </x:c>
      <x:c r="D35" s="13" t="str">
        <x:v>malam</x:v>
      </x:c>
      <x:c r="E35" s="14" t="n">
        <x:f>IF('Lokasi'!F14="","",'Lokasi'!F14)</x:f>
        <x:v>-7.835302371488561</x:v>
      </x:c>
      <x:c r="F35" s="14" t="n">
        <x:f>IF('Lokasi'!G14="","",'Lokasi'!G14)</x:f>
        <x:v>110.39278720095895</x:v>
      </x:c>
      <x:c r="G35" s="15" t="n">
        <x:v>46295.42230475695</x:v>
      </x:c>
      <x:c r="H35" s="16" t="str">
        <x:v>Berhasil</x:v>
      </x:c>
      <x:c r="I35" s="16" t="str">
        <x:v>RS Jogja</x:v>
      </x:c>
      <x:c r="J35" s="17" t="n">
        <x:v>2783.7707059827</x:v>
      </x:c>
      <x:c r="K35" s="17" t="n">
        <x:v>0.0000032652503922810887</x:v>
      </x:c>
      <x:c r="L35" s="17" t="n">
        <x:v>427.1179149902463</x:v>
      </x:c>
      <x:c r="M35" s="17" t="n">
        <x:v>427.1179149902463</x:v>
      </x:c>
      <x:c r="N35" s="18" t="n">
        <x:f>IF(COUNT(L35:M35)&lt;2,"",ABS(L35-M35))</x:f>
        <x:v>0</x:v>
      </x:c>
      <x:c r="O35" s="13" t="str">
        <x:f>IF(COUNT(L35:M35)&lt;2,"",IF(ABS(L35-M35)&lt;=0.1,"Sama (≤0,1 dtk)","Periksa"))</x:f>
        <x:v>Sama (≤0,1 dtk)</x:v>
      </x:c>
      <x:c r="P35" s="16" t="str">
        <x:v>titik jalan OSM otomatis dekat penanda; jalan tanpa nama OSM; jarak penanda 10.2 m; akses fisik belum diverifikasi</x:v>
      </x:c>
      <x:c r="Q35" s="16" t="str">
        <x:v>hasil_batch.json (U28)</x:v>
      </x:c>
      <x:c r="R35" s="17" t="n">
        <x:v>12.078099884092808</x:v>
      </x:c>
      <x:c r="S35" s="17" t="n">
        <x:v>21.297700004652143</x:v>
      </x:c>
      <x:c r="T35" s="16" t="n">
        <x:v>1941</x:v>
      </x:c>
      <x:c r="U35" s="16" t="n">
        <x:v>1080</x:v>
      </x:c>
      <x:c r="V35" s="16" t="str">
        <x:v>Ya</x:v>
      </x:c>
    </x:row>
    <x:row r="36" ht="46" customHeight="1">
      <x:c r="A36" s="13" t="str">
        <x:v>U29</x:v>
      </x:c>
      <x:c r="B36" s="13" t="str">
        <x:v>L08</x:v>
      </x:c>
      <x:c r="C36" s="13" t="str">
        <x:f>'Lokasi'!B15</x:f>
        <x:v>Terminal Jombor</x:v>
      </x:c>
      <x:c r="D36" s="13" t="str">
        <x:v>pagi</x:v>
      </x:c>
      <x:c r="E36" s="14" t="n">
        <x:f>IF('Lokasi'!F15="","",'Lokasi'!F15)</x:f>
        <x:v>-7.747376695832385</x:v>
      </x:c>
      <x:c r="F36" s="14" t="n">
        <x:f>IF('Lokasi'!G15="","",'Lokasi'!G15)</x:f>
        <x:v>110.36145621600019</x:v>
      </x:c>
      <x:c r="G36" s="15" t="n">
        <x:v>46295.42238831019</x:v>
      </x:c>
      <x:c r="H36" s="16" t="str">
        <x:v>Berhasil</x:v>
      </x:c>
      <x:c r="I36" s="16" t="str">
        <x:v>Rumah Sakit Akademik UGM</x:v>
      </x:c>
      <x:c r="J36" s="17" t="n">
        <x:v>2166.6551190735436</x:v>
      </x:c>
      <x:c r="K36" s="17" t="n">
        <x:v>0.000018093512484436183</x:v>
      </x:c>
      <x:c r="L36" s="17" t="n">
        <x:v>308.5536147522431</x:v>
      </x:c>
      <x:c r="M36" s="17" t="n">
        <x:v>308.5536147522431</x:v>
      </x:c>
      <x:c r="N36" s="18" t="n">
        <x:f>IF(COUNT(L36:M36)&lt;2,"",ABS(L36-M36))</x:f>
        <x:v>0</x:v>
      </x:c>
      <x:c r="O36" s="13" t="str">
        <x:f>IF(COUNT(L36:M36)&lt;2,"",IF(ABS(L36-M36)&lt;=0.1,"Sama (≤0,1 dtk)","Periksa"))</x:f>
        <x:v>Sama (≤0,1 dtk)</x:v>
      </x:c>
      <x:c r="P36" s="16" t="str">
        <x:v>titik jalan OSM otomatis dekat penanda; jalan tanpa nama OSM; jarak penanda 0.0 m; akses fisik belum diverifikasi</x:v>
      </x:c>
      <x:c r="Q36" s="16" t="str">
        <x:v>hasil_batch.json (U29)</x:v>
      </x:c>
      <x:c r="R36" s="17" t="n">
        <x:v>5.978900007903576</x:v>
      </x:c>
      <x:c r="S36" s="17" t="n">
        <x:v>10.951499920338392</x:v>
      </x:c>
      <x:c r="T36" s="16" t="n">
        <x:v>1031</x:v>
      </x:c>
      <x:c r="U36" s="16" t="n">
        <x:v>599</x:v>
      </x:c>
      <x:c r="V36" s="16" t="str">
        <x:v>Ya</x:v>
      </x:c>
    </x:row>
    <x:row r="37" ht="46" customHeight="1">
      <x:c r="A37" s="13" t="str">
        <x:v>U30</x:v>
      </x:c>
      <x:c r="B37" s="13" t="str">
        <x:v>L08</x:v>
      </x:c>
      <x:c r="C37" s="13" t="str">
        <x:f>'Lokasi'!B15</x:f>
        <x:v>Terminal Jombor</x:v>
      </x:c>
      <x:c r="D37" s="13" t="str">
        <x:v>siang</x:v>
      </x:c>
      <x:c r="E37" s="14" t="n">
        <x:f>IF('Lokasi'!F15="","",'Lokasi'!F15)</x:f>
        <x:v>-7.747376695832385</x:v>
      </x:c>
      <x:c r="F37" s="14" t="n">
        <x:f>IF('Lokasi'!G15="","",'Lokasi'!G15)</x:f>
        <x:v>110.36145621600019</x:v>
      </x:c>
      <x:c r="G37" s="15" t="n">
        <x:v>46295.42243320602</x:v>
      </x:c>
      <x:c r="H37" s="16" t="str">
        <x:v>Berhasil</x:v>
      </x:c>
      <x:c r="I37" s="16" t="str">
        <x:v>Rumah Sakit Akademik UGM</x:v>
      </x:c>
      <x:c r="J37" s="17" t="n">
        <x:v>2166.6551190735436</x:v>
      </x:c>
      <x:c r="K37" s="17" t="n">
        <x:v>0.000018093512484436183</x:v>
      </x:c>
      <x:c r="L37" s="17" t="n">
        <x:v>288.5536147522431</x:v>
      </x:c>
      <x:c r="M37" s="17" t="n">
        <x:v>288.5536147522431</x:v>
      </x:c>
      <x:c r="N37" s="18" t="n">
        <x:f>IF(COUNT(L37:M37)&lt;2,"",ABS(L37-M37))</x:f>
        <x:v>0</x:v>
      </x:c>
      <x:c r="O37" s="13" t="str">
        <x:f>IF(COUNT(L37:M37)&lt;2,"",IF(ABS(L37-M37)&lt;=0.1,"Sama (≤0,1 dtk)","Periksa"))</x:f>
        <x:v>Sama (≤0,1 dtk)</x:v>
      </x:c>
      <x:c r="P37" s="16" t="str">
        <x:v>titik jalan OSM otomatis dekat penanda; jalan tanpa nama OSM; jarak penanda 0.0 m; akses fisik belum diverifikasi</x:v>
      </x:c>
      <x:c r="Q37" s="16" t="str">
        <x:v>hasil_batch.json (U30)</x:v>
      </x:c>
      <x:c r="R37" s="17" t="n">
        <x:v>3.7138001061975956</x:v>
      </x:c>
      <x:c r="S37" s="17" t="n">
        <x:v>9.291599970310926</x:v>
      </x:c>
      <x:c r="T37" s="16" t="n">
        <x:v>884</x:v>
      </x:c>
      <x:c r="U37" s="16" t="n">
        <x:v>468</x:v>
      </x:c>
      <x:c r="V37" s="16" t="str">
        <x:v>Ya</x:v>
      </x:c>
    </x:row>
    <x:row r="38" ht="46" customHeight="1">
      <x:c r="A38" s="13" t="str">
        <x:v>U31</x:v>
      </x:c>
      <x:c r="B38" s="13" t="str">
        <x:v>L08</x:v>
      </x:c>
      <x:c r="C38" s="13" t="str">
        <x:f>'Lokasi'!B15</x:f>
        <x:v>Terminal Jombor</x:v>
      </x:c>
      <x:c r="D38" s="13" t="str">
        <x:v>sore</x:v>
      </x:c>
      <x:c r="E38" s="14" t="n">
        <x:f>IF('Lokasi'!F15="","",'Lokasi'!F15)</x:f>
        <x:v>-7.747376695832385</x:v>
      </x:c>
      <x:c r="F38" s="14" t="n">
        <x:f>IF('Lokasi'!G15="","",'Lokasi'!G15)</x:f>
        <x:v>110.36145621600019</x:v>
      </x:c>
      <x:c r="G38" s="15" t="n">
        <x:v>46295.422473148144</x:v>
      </x:c>
      <x:c r="H38" s="16" t="str">
        <x:v>Berhasil</x:v>
      </x:c>
      <x:c r="I38" s="16" t="str">
        <x:v>Rumah Sakit Akademik UGM</x:v>
      </x:c>
      <x:c r="J38" s="17" t="n">
        <x:v>2166.6551190735436</x:v>
      </x:c>
      <x:c r="K38" s="17" t="n">
        <x:v>0.000018093512484436183</x:v>
      </x:c>
      <x:c r="L38" s="17" t="n">
        <x:v>318.5536147522431</x:v>
      </x:c>
      <x:c r="M38" s="17" t="n">
        <x:v>318.5536147522431</x:v>
      </x:c>
      <x:c r="N38" s="18" t="n">
        <x:f>IF(COUNT(L38:M38)&lt;2,"",ABS(L38-M38))</x:f>
        <x:v>0</x:v>
      </x:c>
      <x:c r="O38" s="13" t="str">
        <x:f>IF(COUNT(L38:M38)&lt;2,"",IF(ABS(L38-M38)&lt;=0.1,"Sama (≤0,1 dtk)","Periksa"))</x:f>
        <x:v>Sama (≤0,1 dtk)</x:v>
      </x:c>
      <x:c r="P38" s="16" t="str">
        <x:v>titik jalan OSM otomatis dekat penanda; jalan tanpa nama OSM; jarak penanda 0.0 m; akses fisik belum diverifikasi</x:v>
      </x:c>
      <x:c r="Q38" s="16" t="str">
        <x:v>hasil_batch.json (U31)</x:v>
      </x:c>
      <x:c r="R38" s="17" t="n">
        <x:v>14.674199977889657</x:v>
      </x:c>
      <x:c r="S38" s="17" t="n">
        <x:v>16.80020010098815</x:v>
      </x:c>
      <x:c r="T38" s="16" t="n">
        <x:v>961</x:v>
      </x:c>
      <x:c r="U38" s="16" t="n">
        <x:v>695</x:v>
      </x:c>
      <x:c r="V38" s="16" t="str">
        <x:v>Ya</x:v>
      </x:c>
    </x:row>
    <x:row r="39" ht="46" customHeight="1">
      <x:c r="A39" s="13" t="str">
        <x:v>U32</x:v>
      </x:c>
      <x:c r="B39" s="13" t="str">
        <x:v>L08</x:v>
      </x:c>
      <x:c r="C39" s="13" t="str">
        <x:f>'Lokasi'!B15</x:f>
        <x:v>Terminal Jombor</x:v>
      </x:c>
      <x:c r="D39" s="13" t="str">
        <x:v>malam</x:v>
      </x:c>
      <x:c r="E39" s="14" t="n">
        <x:f>IF('Lokasi'!F15="","",'Lokasi'!F15)</x:f>
        <x:v>-7.747376695832385</x:v>
      </x:c>
      <x:c r="F39" s="14" t="n">
        <x:f>IF('Lokasi'!G15="","",'Lokasi'!G15)</x:f>
        <x:v>110.36145621600019</x:v>
      </x:c>
      <x:c r="G39" s="15" t="n">
        <x:v>46295.42252318287</x:v>
      </x:c>
      <x:c r="H39" s="16" t="str">
        <x:v>Berhasil</x:v>
      </x:c>
      <x:c r="I39" s="16" t="str">
        <x:v>Rumah Sakit Akademik UGM</x:v>
      </x:c>
      <x:c r="J39" s="17" t="n">
        <x:v>2166.6551190735436</x:v>
      </x:c>
      <x:c r="K39" s="17" t="n">
        <x:v>0.000018093512484436183</x:v>
      </x:c>
      <x:c r="L39" s="17" t="n">
        <x:v>268.5536147522431</x:v>
      </x:c>
      <x:c r="M39" s="17" t="n">
        <x:v>268.5536147522431</x:v>
      </x:c>
      <x:c r="N39" s="18" t="n">
        <x:f>IF(COUNT(L39:M39)&lt;2,"",ABS(L39-M39))</x:f>
        <x:v>0</x:v>
      </x:c>
      <x:c r="O39" s="13" t="str">
        <x:f>IF(COUNT(L39:M39)&lt;2,"",IF(ABS(L39-M39)&lt;=0.1,"Sama (≤0,1 dtk)","Periksa"))</x:f>
        <x:v>Sama (≤0,1 dtk)</x:v>
      </x:c>
      <x:c r="P39" s="16" t="str">
        <x:v>titik jalan OSM otomatis dekat penanda; jalan tanpa nama OSM; jarak penanda 0.0 m; akses fisik belum diverifikasi</x:v>
      </x:c>
      <x:c r="Q39" s="16" t="str">
        <x:v>hasil_batch.json (U32)</x:v>
      </x:c>
      <x:c r="R39" s="17" t="n">
        <x:v>3.6128999199718237</x:v>
      </x:c>
      <x:c r="S39" s="17" t="n">
        <x:v>9.42330015823245</x:v>
      </x:c>
      <x:c r="T39" s="16" t="n">
        <x:v>834</x:v>
      </x:c>
      <x:c r="U39" s="16" t="n">
        <x:v>444</x:v>
      </x:c>
      <x:c r="V39" s="16" t="str">
        <x:v>Ya</x:v>
      </x:c>
    </x:row>
    <x:row r="40" ht="46" customHeight="1">
      <x:c r="A40" s="13" t="str">
        <x:v>U33</x:v>
      </x:c>
      <x:c r="B40" s="13" t="str">
        <x:v>L09</x:v>
      </x:c>
      <x:c r="C40" s="13" t="str">
        <x:f>'Lokasi'!B16</x:f>
        <x:v>Anggrek 212 Perumnas Condongcatur</x:v>
      </x:c>
      <x:c r="D40" s="13" t="str">
        <x:v>pagi</x:v>
      </x:c>
      <x:c r="E40" s="14" t="n">
        <x:f>IF('Lokasi'!F16="","",'Lokasi'!F16)</x:f>
        <x:v>-7.756514581052434</x:v>
      </x:c>
      <x:c r="F40" s="14" t="n">
        <x:f>IF('Lokasi'!G16="","",'Lokasi'!G16)</x:f>
        <x:v>110.40755955364895</x:v>
      </x:c>
      <x:c r="G40" s="15" t="n">
        <x:v>46295.422599976846</x:v>
      </x:c>
      <x:c r="H40" s="16" t="str">
        <x:v>Berhasil</x:v>
      </x:c>
      <x:c r="I40" s="16" t="str">
        <x:v>Rumah Sakit JIH</x:v>
      </x:c>
      <x:c r="J40" s="17" t="n">
        <x:v>1356.209117163284</x:v>
      </x:c>
      <x:c r="K40" s="17" t="n">
        <x:v>0.000017929556098050825</x:v>
      </x:c>
      <x:c r="L40" s="17" t="n">
        <x:v>262.77091597293384</x:v>
      </x:c>
      <x:c r="M40" s="17" t="n">
        <x:v>262.77091597293384</x:v>
      </x:c>
      <x:c r="N40" s="18" t="n">
        <x:f>IF(COUNT(L40:M40)&lt;2,"",ABS(L40-M40))</x:f>
        <x:v>0</x:v>
      </x:c>
      <x:c r="O40" s="13" t="str">
        <x:f>IF(COUNT(L40:M40)&lt;2,"",IF(ABS(L40-M40)&lt;=0.1,"Sama (≤0,1 dtk)","Periksa"))</x:f>
        <x:v>Sama (≤0,1 dtk)</x:v>
      </x:c>
      <x:c r="P40" s="16" t="str">
        <x:v>titik jalan OSM otomatis dekat penanda; Jalan Flamboyan; jarak penanda 10.0 m; akses fisik belum diverifikasi</x:v>
      </x:c>
      <x:c r="Q40" s="16" t="str">
        <x:v>hasil_batch.json (U33)</x:v>
      </x:c>
      <x:c r="R40" s="17" t="n">
        <x:v>15.735300024971366</x:v>
      </x:c>
      <x:c r="S40" s="17" t="n">
        <x:v>14.43680003285408</x:v>
      </x:c>
      <x:c r="T40" s="16" t="n">
        <x:v>1382</x:v>
      </x:c>
      <x:c r="U40" s="16" t="n">
        <x:v>964</x:v>
      </x:c>
      <x:c r="V40" s="16" t="str">
        <x:v>Ya</x:v>
      </x:c>
    </x:row>
    <x:row r="41" ht="46" customHeight="1">
      <x:c r="A41" s="13" t="str">
        <x:v>U34</x:v>
      </x:c>
      <x:c r="B41" s="13" t="str">
        <x:v>L09</x:v>
      </x:c>
      <x:c r="C41" s="13" t="str">
        <x:f>'Lokasi'!B16</x:f>
        <x:v>Anggrek 212 Perumnas Condongcatur</x:v>
      </x:c>
      <x:c r="D41" s="13" t="str">
        <x:v>siang</x:v>
      </x:c>
      <x:c r="E41" s="14" t="n">
        <x:f>IF('Lokasi'!F16="","",'Lokasi'!F16)</x:f>
        <x:v>-7.756514581052434</x:v>
      </x:c>
      <x:c r="F41" s="14" t="n">
        <x:f>IF('Lokasi'!G16="","",'Lokasi'!G16)</x:f>
        <x:v>110.40755955364895</x:v>
      </x:c>
      <x:c r="G41" s="15" t="n">
        <x:v>46295.42264243055</x:v>
      </x:c>
      <x:c r="H41" s="16" t="str">
        <x:v>Berhasil</x:v>
      </x:c>
      <x:c r="I41" s="16" t="str">
        <x:v>Rumah Sakit JIH</x:v>
      </x:c>
      <x:c r="J41" s="17" t="n">
        <x:v>1356.209117163284</x:v>
      </x:c>
      <x:c r="K41" s="17" t="n">
        <x:v>0.000017929556098050825</x:v>
      </x:c>
      <x:c r="L41" s="17" t="n">
        <x:v>268.07462896248575</x:v>
      </x:c>
      <x:c r="M41" s="17" t="n">
        <x:v>268.07462896248575</x:v>
      </x:c>
      <x:c r="N41" s="18" t="n">
        <x:f>IF(COUNT(L41:M41)&lt;2,"",ABS(L41-M41))</x:f>
        <x:v>0</x:v>
      </x:c>
      <x:c r="O41" s="13" t="str">
        <x:f>IF(COUNT(L41:M41)&lt;2,"",IF(ABS(L41-M41)&lt;=0.1,"Sama (≤0,1 dtk)","Periksa"))</x:f>
        <x:v>Sama (≤0,1 dtk)</x:v>
      </x:c>
      <x:c r="P41" s="16" t="str">
        <x:v>titik jalan OSM otomatis dekat penanda; Jalan Flamboyan; jarak penanda 10.0 m; akses fisik belum diverifikasi</x:v>
      </x:c>
      <x:c r="Q41" s="16" t="str">
        <x:v>hasil_batch.json (U34)</x:v>
      </x:c>
      <x:c r="R41" s="17" t="n">
        <x:v>18.456999910995364</x:v>
      </x:c>
      <x:c r="S41" s="17" t="n">
        <x:v>20.393999991938472</x:v>
      </x:c>
      <x:c r="T41" s="16" t="n">
        <x:v>1590</x:v>
      </x:c>
      <x:c r="U41" s="16" t="n">
        <x:v>1135</x:v>
      </x:c>
      <x:c r="V41" s="16" t="str">
        <x:v>Ya</x:v>
      </x:c>
    </x:row>
    <x:row r="42" ht="46" customHeight="1">
      <x:c r="A42" s="13" t="str">
        <x:v>U35</x:v>
      </x:c>
      <x:c r="B42" s="13" t="str">
        <x:v>L09</x:v>
      </x:c>
      <x:c r="C42" s="13" t="str">
        <x:f>'Lokasi'!B16</x:f>
        <x:v>Anggrek 212 Perumnas Condongcatur</x:v>
      </x:c>
      <x:c r="D42" s="13" t="str">
        <x:v>sore</x:v>
      </x:c>
      <x:c r="E42" s="14" t="n">
        <x:f>IF('Lokasi'!F16="","",'Lokasi'!F16)</x:f>
        <x:v>-7.756514581052434</x:v>
      </x:c>
      <x:c r="F42" s="14" t="n">
        <x:f>IF('Lokasi'!G16="","",'Lokasi'!G16)</x:f>
        <x:v>110.40755955364895</x:v>
      </x:c>
      <x:c r="G42" s="15" t="n">
        <x:v>46295.42268685185</x:v>
      </x:c>
      <x:c r="H42" s="16" t="str">
        <x:v>Berhasil</x:v>
      </x:c>
      <x:c r="I42" s="16" t="str">
        <x:v>Rumah Sakit JIH</x:v>
      </x:c>
      <x:c r="J42" s="17" t="n">
        <x:v>1356.209117163284</x:v>
      </x:c>
      <x:c r="K42" s="17" t="n">
        <x:v>0.000017929556098050825</x:v>
      </x:c>
      <x:c r="L42" s="17" t="n">
        <x:v>264.9648931380866</x:v>
      </x:c>
      <x:c r="M42" s="17" t="n">
        <x:v>264.9648931380866</x:v>
      </x:c>
      <x:c r="N42" s="18" t="n">
        <x:f>IF(COUNT(L42:M42)&lt;2,"",ABS(L42-M42))</x:f>
        <x:v>0</x:v>
      </x:c>
      <x:c r="O42" s="13" t="str">
        <x:f>IF(COUNT(L42:M42)&lt;2,"",IF(ABS(L42-M42)&lt;=0.1,"Sama (≤0,1 dtk)","Periksa"))</x:f>
        <x:v>Sama (≤0,1 dtk)</x:v>
      </x:c>
      <x:c r="P42" s="16" t="str">
        <x:v>titik jalan OSM otomatis dekat penanda; Jalan Flamboyan; jarak penanda 10.0 m; akses fisik belum diverifikasi</x:v>
      </x:c>
      <x:c r="Q42" s="16" t="str">
        <x:v>hasil_batch.json (U35)</x:v>
      </x:c>
      <x:c r="R42" s="17" t="n">
        <x:v>17.296000150963664</x:v>
      </x:c>
      <x:c r="S42" s="17" t="n">
        <x:v>20.131699973717332</x:v>
      </x:c>
      <x:c r="T42" s="16" t="n">
        <x:v>1778</x:v>
      </x:c>
      <x:c r="U42" s="16" t="n">
        <x:v>1301</x:v>
      </x:c>
      <x:c r="V42" s="16" t="str">
        <x:v>Ya</x:v>
      </x:c>
    </x:row>
    <x:row r="43" ht="46" customHeight="1">
      <x:c r="A43" s="13" t="str">
        <x:v>U36</x:v>
      </x:c>
      <x:c r="B43" s="13" t="str">
        <x:v>L09</x:v>
      </x:c>
      <x:c r="C43" s="13" t="str">
        <x:f>'Lokasi'!B16</x:f>
        <x:v>Anggrek 212 Perumnas Condongcatur</x:v>
      </x:c>
      <x:c r="D43" s="13" t="str">
        <x:v>malam</x:v>
      </x:c>
      <x:c r="E43" s="14" t="n">
        <x:f>IF('Lokasi'!F16="","",'Lokasi'!F16)</x:f>
        <x:v>-7.756514581052434</x:v>
      </x:c>
      <x:c r="F43" s="14" t="n">
        <x:f>IF('Lokasi'!G16="","",'Lokasi'!G16)</x:f>
        <x:v>110.40755955364895</x:v>
      </x:c>
      <x:c r="G43" s="15" t="n">
        <x:v>46295.42273068287</x:v>
      </x:c>
      <x:c r="H43" s="16" t="str">
        <x:v>Berhasil</x:v>
      </x:c>
      <x:c r="I43" s="16" t="str">
        <x:v>Rumah Sakit JIH</x:v>
      </x:c>
      <x:c r="J43" s="17" t="n">
        <x:v>1356.209117163284</x:v>
      </x:c>
      <x:c r="K43" s="17" t="n">
        <x:v>0.000017929556098050825</x:v>
      </x:c>
      <x:c r="L43" s="17" t="n">
        <x:v>235.97570161888092</x:v>
      </x:c>
      <x:c r="M43" s="17" t="n">
        <x:v>235.97570161888092</x:v>
      </x:c>
      <x:c r="N43" s="18" t="n">
        <x:f>IF(COUNT(L43:M43)&lt;2,"",ABS(L43-M43))</x:f>
        <x:v>0</x:v>
      </x:c>
      <x:c r="O43" s="13" t="str">
        <x:f>IF(COUNT(L43:M43)&lt;2,"",IF(ABS(L43-M43)&lt;=0.1,"Sama (≤0,1 dtk)","Periksa"))</x:f>
        <x:v>Sama (≤0,1 dtk)</x:v>
      </x:c>
      <x:c r="P43" s="16" t="str">
        <x:v>titik jalan OSM otomatis dekat penanda; Jalan Flamboyan; jarak penanda 10.0 m; akses fisik belum diverifikasi</x:v>
      </x:c>
      <x:c r="Q43" s="16" t="str">
        <x:v>hasil_batch.json (U36)</x:v>
      </x:c>
      <x:c r="R43" s="17" t="n">
        <x:v>16.02550013922155</x:v>
      </x:c>
      <x:c r="S43" s="17" t="n">
        <x:v>18.551599932834506</x:v>
      </x:c>
      <x:c r="T43" s="16" t="n">
        <x:v>1762</x:v>
      </x:c>
      <x:c r="U43" s="16" t="n">
        <x:v>1262</x:v>
      </x:c>
      <x:c r="V43" s="16" t="str">
        <x:v>Ya</x:v>
      </x:c>
    </x:row>
    <x:row r="44" ht="46" customHeight="1">
      <x:c r="A44" s="13" t="str">
        <x:v>U37</x:v>
      </x:c>
      <x:c r="B44" s="13" t="str">
        <x:v>L10</x:v>
      </x:c>
      <x:c r="C44" s="13" t="str">
        <x:f>'Lokasi'!B17</x:f>
        <x:v>Pasar Godean</x:v>
      </x:c>
      <x:c r="D44" s="13" t="str">
        <x:v>pagi</x:v>
      </x:c>
      <x:c r="E44" s="14" t="n">
        <x:f>IF('Lokasi'!F17="","",'Lokasi'!F17)</x:f>
        <x:v>-7.765845645832094</x:v>
      </x:c>
      <x:c r="F44" s="14" t="n">
        <x:f>IF('Lokasi'!G17="","",'Lokasi'!G17)</x:f>
        <x:v>110.29099515799936</x:v>
      </x:c>
      <x:c r="G44" s="15" t="n">
        <x:v>46295.422808842595</x:v>
      </x:c>
      <x:c r="H44" s="16" t="str">
        <x:v>Berhasil</x:v>
      </x:c>
      <x:c r="I44" s="16" t="str">
        <x:v>Rumah Sakit At-Turots Al-Islamy</x:v>
      </x:c>
      <x:c r="J44" s="17" t="n">
        <x:v>1882.3049467627295</x:v>
      </x:c>
      <x:c r="K44" s="17" t="n">
        <x:v>0.000011458090913305858</x:v>
      </x:c>
      <x:c r="L44" s="17" t="n">
        <x:v>323.84282255688277</x:v>
      </x:c>
      <x:c r="M44" s="17" t="n">
        <x:v>323.84282255688277</x:v>
      </x:c>
      <x:c r="N44" s="18" t="n">
        <x:f>IF(COUNT(L44:M44)&lt;2,"",ABS(L44-M44))</x:f>
        <x:v>0</x:v>
      </x:c>
      <x:c r="O44" s="13" t="str">
        <x:f>IF(COUNT(L44:M44)&lt;2,"",IF(ABS(L44-M44)&lt;=0.1,"Sama (≤0,1 dtk)","Periksa"))</x:f>
        <x:v>Sama (≤0,1 dtk)</x:v>
      </x:c>
      <x:c r="P44" s="16" t="str">
        <x:v>titik jalan OSM otomatis dekat penanda; jalan tanpa nama OSM; jarak penanda 41.7 m; akses fisik belum diverifikasi</x:v>
      </x:c>
      <x:c r="Q44" s="16" t="str">
        <x:v>hasil_batch.json (U37)</x:v>
      </x:c>
      <x:c r="R44" s="17" t="n">
        <x:v>4.121900070458651</x:v>
      </x:c>
      <x:c r="S44" s="17" t="n">
        <x:v>7.6853998471051455</x:v>
      </x:c>
      <x:c r="T44" s="16" t="n">
        <x:v>926</x:v>
      </x:c>
      <x:c r="U44" s="16" t="n">
        <x:v>542</x:v>
      </x:c>
      <x:c r="V44" s="16" t="str">
        <x:v>Ya</x:v>
      </x:c>
    </x:row>
    <x:row r="45" ht="46" customHeight="1">
      <x:c r="A45" s="13" t="str">
        <x:v>U38</x:v>
      </x:c>
      <x:c r="B45" s="13" t="str">
        <x:v>L10</x:v>
      </x:c>
      <x:c r="C45" s="13" t="str">
        <x:f>'Lokasi'!B17</x:f>
        <x:v>Pasar Godean</x:v>
      </x:c>
      <x:c r="D45" s="13" t="str">
        <x:v>siang</x:v>
      </x:c>
      <x:c r="E45" s="14" t="n">
        <x:f>IF('Lokasi'!F17="","",'Lokasi'!F17)</x:f>
        <x:v>-7.765845645832094</x:v>
      </x:c>
      <x:c r="F45" s="14" t="n">
        <x:f>IF('Lokasi'!G17="","",'Lokasi'!G17)</x:f>
        <x:v>110.29099515799936</x:v>
      </x:c>
      <x:c r="G45" s="15" t="n">
        <x:v>46295.42284712963</x:v>
      </x:c>
      <x:c r="H45" s="16" t="str">
        <x:v>Berhasil</x:v>
      </x:c>
      <x:c r="I45" s="16" t="str">
        <x:v>Rumah Sakit At-Turots Al-Islamy</x:v>
      </x:c>
      <x:c r="J45" s="17" t="n">
        <x:v>1882.3049467627295</x:v>
      </x:c>
      <x:c r="K45" s="17" t="n">
        <x:v>0.000011458090913305858</x:v>
      </x:c>
      <x:c r="L45" s="17" t="n">
        <x:v>291.9456706726726</x:v>
      </x:c>
      <x:c r="M45" s="17" t="n">
        <x:v>291.9456706726726</x:v>
      </x:c>
      <x:c r="N45" s="18" t="n">
        <x:f>IF(COUNT(L45:M45)&lt;2,"",ABS(L45-M45))</x:f>
        <x:v>0</x:v>
      </x:c>
      <x:c r="O45" s="13" t="str">
        <x:f>IF(COUNT(L45:M45)&lt;2,"",IF(ABS(L45-M45)&lt;=0.1,"Sama (≤0,1 dtk)","Periksa"))</x:f>
        <x:v>Sama (≤0,1 dtk)</x:v>
      </x:c>
      <x:c r="P45" s="16" t="str">
        <x:v>titik jalan OSM otomatis dekat penanda; jalan tanpa nama OSM; jarak penanda 41.7 m; akses fisik belum diverifikasi</x:v>
      </x:c>
      <x:c r="Q45" s="16" t="str">
        <x:v>hasil_batch.json (U38)</x:v>
      </x:c>
      <x:c r="R45" s="17" t="n">
        <x:v>4.548599943518639</x:v>
      </x:c>
      <x:c r="S45" s="17" t="n">
        <x:v>7.470300188288093</x:v>
      </x:c>
      <x:c r="T45" s="16" t="n">
        <x:v>1009</x:v>
      </x:c>
      <x:c r="U45" s="16" t="n">
        <x:v>530</x:v>
      </x:c>
      <x:c r="V45" s="16" t="str">
        <x:v>Ya</x:v>
      </x:c>
    </x:row>
    <x:row r="46" ht="46" customHeight="1">
      <x:c r="A46" s="13" t="str">
        <x:v>U39</x:v>
      </x:c>
      <x:c r="B46" s="13" t="str">
        <x:v>L10</x:v>
      </x:c>
      <x:c r="C46" s="13" t="str">
        <x:f>'Lokasi'!B17</x:f>
        <x:v>Pasar Godean</x:v>
      </x:c>
      <x:c r="D46" s="13" t="str">
        <x:v>sore</x:v>
      </x:c>
      <x:c r="E46" s="14" t="n">
        <x:f>IF('Lokasi'!F17="","",'Lokasi'!F17)</x:f>
        <x:v>-7.765845645832094</x:v>
      </x:c>
      <x:c r="F46" s="14" t="n">
        <x:f>IF('Lokasi'!G17="","",'Lokasi'!G17)</x:f>
        <x:v>110.29099515799936</x:v>
      </x:c>
      <x:c r="G46" s="15" t="n">
        <x:v>46295.42289059028</x:v>
      </x:c>
      <x:c r="H46" s="16" t="str">
        <x:v>Berhasil</x:v>
      </x:c>
      <x:c r="I46" s="16" t="str">
        <x:v>Rumah Sakit At-Turots Al-Islamy</x:v>
      </x:c>
      <x:c r="J46" s="17" t="n">
        <x:v>1882.3049467627295</x:v>
      </x:c>
      <x:c r="K46" s="17" t="n">
        <x:v>0.000011458090913305858</x:v>
      </x:c>
      <x:c r="L46" s="17" t="n">
        <x:v>262.7408557511465</x:v>
      </x:c>
      <x:c r="M46" s="17" t="n">
        <x:v>262.7408557511465</x:v>
      </x:c>
      <x:c r="N46" s="18" t="n">
        <x:f>IF(COUNT(L46:M46)&lt;2,"",ABS(L46-M46))</x:f>
        <x:v>0</x:v>
      </x:c>
      <x:c r="O46" s="13" t="str">
        <x:f>IF(COUNT(L46:M46)&lt;2,"",IF(ABS(L46-M46)&lt;=0.1,"Sama (≤0,1 dtk)","Periksa"))</x:f>
        <x:v>Sama (≤0,1 dtk)</x:v>
      </x:c>
      <x:c r="P46" s="16" t="str">
        <x:v>titik jalan OSM otomatis dekat penanda; jalan tanpa nama OSM; jarak penanda 41.7 m; akses fisik belum diverifikasi</x:v>
      </x:c>
      <x:c r="Q46" s="16" t="str">
        <x:v>hasil_batch.json (U39)</x:v>
      </x:c>
      <x:c r="R46" s="17" t="n">
        <x:v>15.034000156447291</x:v>
      </x:c>
      <x:c r="S46" s="17" t="n">
        <x:v>6.718700053170323</x:v>
      </x:c>
      <x:c r="T46" s="16" t="n">
        <x:v>986</x:v>
      </x:c>
      <x:c r="U46" s="16" t="n">
        <x:v>437</x:v>
      </x:c>
      <x:c r="V46" s="16" t="str">
        <x:v>Ya</x:v>
      </x:c>
    </x:row>
    <x:row r="47" ht="46" customHeight="1">
      <x:c r="A47" s="13" t="str">
        <x:v>U40</x:v>
      </x:c>
      <x:c r="B47" s="13" t="str">
        <x:v>L10</x:v>
      </x:c>
      <x:c r="C47" s="13" t="str">
        <x:f>'Lokasi'!B17</x:f>
        <x:v>Pasar Godean</x:v>
      </x:c>
      <x:c r="D47" s="13" t="str">
        <x:v>malam</x:v>
      </x:c>
      <x:c r="E47" s="14" t="n">
        <x:f>IF('Lokasi'!F17="","",'Lokasi'!F17)</x:f>
        <x:v>-7.765845645832094</x:v>
      </x:c>
      <x:c r="F47" s="14" t="n">
        <x:f>IF('Lokasi'!G17="","",'Lokasi'!G17)</x:f>
        <x:v>110.29099515799936</x:v>
      </x:c>
      <x:c r="G47" s="15" t="n">
        <x:v>46295.42293181713</x:v>
      </x:c>
      <x:c r="H47" s="16" t="str">
        <x:v>Berhasil</x:v>
      </x:c>
      <x:c r="I47" s="16" t="str">
        <x:v>Rumah Sakit At-Turots Al-Islamy</x:v>
      </x:c>
      <x:c r="J47" s="17" t="n">
        <x:v>1882.3049467627295</x:v>
      </x:c>
      <x:c r="K47" s="17" t="n">
        <x:v>0.000011458090913305858</x:v>
      </x:c>
      <x:c r="L47" s="17" t="n">
        <x:v>230.84370386693627</x:v>
      </x:c>
      <x:c r="M47" s="17" t="n">
        <x:v>230.84370386693627</x:v>
      </x:c>
      <x:c r="N47" s="18" t="n">
        <x:f>IF(COUNT(L47:M47)&lt;2,"",ABS(L47-M47))</x:f>
        <x:v>0</x:v>
      </x:c>
      <x:c r="O47" s="13" t="str">
        <x:f>IF(COUNT(L47:M47)&lt;2,"",IF(ABS(L47-M47)&lt;=0.1,"Sama (≤0,1 dtk)","Periksa"))</x:f>
        <x:v>Sama (≤0,1 dtk)</x:v>
      </x:c>
      <x:c r="P47" s="16" t="str">
        <x:v>titik jalan OSM otomatis dekat penanda; jalan tanpa nama OSM; jarak penanda 41.7 m; akses fisik belum diverifikasi</x:v>
      </x:c>
      <x:c r="Q47" s="16" t="str">
        <x:v>hasil_batch.json (U40)</x:v>
      </x:c>
      <x:c r="R47" s="17" t="n">
        <x:v>7.56980013102293</x:v>
      </x:c>
      <x:c r="S47" s="17" t="n">
        <x:v>10.704499902203679</x:v>
      </x:c>
      <x:c r="T47" s="16" t="n">
        <x:v>1102</x:v>
      </x:c>
      <x:c r="U47" s="16" t="n">
        <x:v>459</x:v>
      </x:c>
      <x:c r="V47" s="16" t="str">
        <x:v>Ya</x:v>
      </x:c>
    </x:row>
    <x:row r="48" ht="46" customHeight="1">
      <x:c r="A48" s="13" t="str">
        <x:v>U41</x:v>
      </x:c>
      <x:c r="B48" s="13" t="str">
        <x:v>L11</x:v>
      </x:c>
      <x:c r="C48" s="13" t="str">
        <x:f>'Lokasi'!B18</x:f>
        <x:v>Pasar Pakem</x:v>
      </x:c>
      <x:c r="D48" s="13" t="str">
        <x:v>pagi</x:v>
      </x:c>
      <x:c r="E48" s="14" t="n">
        <x:f>IF('Lokasi'!F18="","",'Lokasi'!F18)</x:f>
        <x:v>-7.66555217749513</x:v>
      </x:c>
      <x:c r="F48" s="14" t="n">
        <x:f>IF('Lokasi'!G18="","",'Lokasi'!G18)</x:f>
        <x:v>110.42002509668946</x:v>
      </x:c>
      <x:c r="G48" s="15" t="n">
        <x:v>46295.42300989583</x:v>
      </x:c>
      <x:c r="H48" s="16" t="str">
        <x:v>Berhasil</x:v>
      </x:c>
      <x:c r="I48" s="16" t="str">
        <x:v>RS Panti Nugroho</x:v>
      </x:c>
      <x:c r="J48" s="17" t="n">
        <x:v>743.5983496232034</x:v>
      </x:c>
      <x:c r="K48" s="17" t="n">
        <x:v>0.000006915549388307646</x:v>
      </x:c>
      <x:c r="L48" s="17" t="n">
        <x:v>280.0833862593102</x:v>
      </x:c>
      <x:c r="M48" s="17" t="n">
        <x:v>280.0833862593102</x:v>
      </x:c>
      <x:c r="N48" s="18" t="n">
        <x:f>IF(COUNT(L48:M48)&lt;2,"",ABS(L48-M48))</x:f>
        <x:v>0</x:v>
      </x:c>
      <x:c r="O48" s="13" t="str">
        <x:f>IF(COUNT(L48:M48)&lt;2,"",IF(ABS(L48-M48)&lt;=0.1,"Sama (≤0,1 dtk)","Periksa"))</x:f>
        <x:v>Sama (≤0,1 dtk)</x:v>
      </x:c>
      <x:c r="P48" s="16" t="str">
        <x:v>titik jalan OSM otomatis dekat penanda; jalan tanpa nama OSM; jarak penanda 29.7 m; akses fisik belum diverifikasi</x:v>
      </x:c>
      <x:c r="Q48" s="16" t="str">
        <x:v>hasil_batch.json (U41)</x:v>
      </x:c>
      <x:c r="R48" s="17" t="n">
        <x:v>17.163400072604418</x:v>
      </x:c>
      <x:c r="S48" s="17" t="n">
        <x:v>11.183800175786018</x:v>
      </x:c>
      <x:c r="T48" s="16" t="n">
        <x:v>1020</x:v>
      </x:c>
      <x:c r="U48" s="16" t="n">
        <x:v>707</x:v>
      </x:c>
      <x:c r="V48" s="16" t="str">
        <x:v>Ya</x:v>
      </x:c>
    </x:row>
    <x:row r="49" ht="46" customHeight="1">
      <x:c r="A49" s="13" t="str">
        <x:v>U42</x:v>
      </x:c>
      <x:c r="B49" s="13" t="str">
        <x:v>L11</x:v>
      </x:c>
      <x:c r="C49" s="13" t="str">
        <x:f>'Lokasi'!B18</x:f>
        <x:v>Pasar Pakem</x:v>
      </x:c>
      <x:c r="D49" s="13" t="str">
        <x:v>siang</x:v>
      </x:c>
      <x:c r="E49" s="14" t="n">
        <x:f>IF('Lokasi'!F18="","",'Lokasi'!F18)</x:f>
        <x:v>-7.66555217749513</x:v>
      </x:c>
      <x:c r="F49" s="14" t="n">
        <x:f>IF('Lokasi'!G18="","",'Lokasi'!G18)</x:f>
        <x:v>110.42002509668946</x:v>
      </x:c>
      <x:c r="G49" s="15" t="n">
        <x:v>46295.42305532407</x:v>
      </x:c>
      <x:c r="H49" s="16" t="str">
        <x:v>Berhasil</x:v>
      </x:c>
      <x:c r="I49" s="16" t="str">
        <x:v>RS Panti Nugroho</x:v>
      </x:c>
      <x:c r="J49" s="17" t="n">
        <x:v>743.5983496232034</x:v>
      </x:c>
      <x:c r="K49" s="17" t="n">
        <x:v>0.000006915549388307646</x:v>
      </x:c>
      <x:c r="L49" s="17" t="n">
        <x:v>224.56911902198405</x:v>
      </x:c>
      <x:c r="M49" s="17" t="n">
        <x:v>224.56911902198405</x:v>
      </x:c>
      <x:c r="N49" s="18" t="n">
        <x:f>IF(COUNT(L49:M49)&lt;2,"",ABS(L49-M49))</x:f>
        <x:v>0</x:v>
      </x:c>
      <x:c r="O49" s="13" t="str">
        <x:f>IF(COUNT(L49:M49)&lt;2,"",IF(ABS(L49-M49)&lt;=0.1,"Sama (≤0,1 dtk)","Periksa"))</x:f>
        <x:v>Sama (≤0,1 dtk)</x:v>
      </x:c>
      <x:c r="P49" s="16" t="str">
        <x:v>titik jalan OSM otomatis dekat penanda; jalan tanpa nama OSM; jarak penanda 29.7 m; akses fisik belum diverifikasi</x:v>
      </x:c>
      <x:c r="Q49" s="16" t="str">
        <x:v>hasil_batch.json (U42)</x:v>
      </x:c>
      <x:c r="R49" s="17" t="n">
        <x:v>17.597900005057454</x:v>
      </x:c>
      <x:c r="S49" s="17" t="n">
        <x:v>9.862500010058284</x:v>
      </x:c>
      <x:c r="T49" s="16" t="n">
        <x:v>856</x:v>
      </x:c>
      <x:c r="U49" s="16" t="n">
        <x:v>539</x:v>
      </x:c>
      <x:c r="V49" s="16" t="str">
        <x:v>Ya</x:v>
      </x:c>
    </x:row>
    <x:row r="50" ht="46" customHeight="1">
      <x:c r="A50" s="13" t="str">
        <x:v>U43</x:v>
      </x:c>
      <x:c r="B50" s="13" t="str">
        <x:v>L11</x:v>
      </x:c>
      <x:c r="C50" s="13" t="str">
        <x:f>'Lokasi'!B18</x:f>
        <x:v>Pasar Pakem</x:v>
      </x:c>
      <x:c r="D50" s="13" t="str">
        <x:v>sore</x:v>
      </x:c>
      <x:c r="E50" s="14" t="n">
        <x:f>IF('Lokasi'!F18="","",'Lokasi'!F18)</x:f>
        <x:v>-7.66555217749513</x:v>
      </x:c>
      <x:c r="F50" s="14" t="n">
        <x:f>IF('Lokasi'!G18="","",'Lokasi'!G18)</x:f>
        <x:v>110.42002509668946</x:v>
      </x:c>
      <x:c r="G50" s="15" t="n">
        <x:v>46295.423098576386</x:v>
      </x:c>
      <x:c r="H50" s="16" t="str">
        <x:v>Berhasil</x:v>
      </x:c>
      <x:c r="I50" s="16" t="str">
        <x:v>RS Panti Nugroho</x:v>
      </x:c>
      <x:c r="J50" s="17" t="n">
        <x:v>743.5983496232034</x:v>
      </x:c>
      <x:c r="K50" s="17" t="n">
        <x:v>0.000006915549388307646</x:v>
      </x:c>
      <x:c r="L50" s="17" t="n">
        <x:v>166.414763919024</x:v>
      </x:c>
      <x:c r="M50" s="17" t="n">
        <x:v>166.414763919024</x:v>
      </x:c>
      <x:c r="N50" s="18" t="n">
        <x:f>IF(COUNT(L50:M50)&lt;2,"",ABS(L50-M50))</x:f>
        <x:v>0</x:v>
      </x:c>
      <x:c r="O50" s="13" t="str">
        <x:f>IF(COUNT(L50:M50)&lt;2,"",IF(ABS(L50-M50)&lt;=0.1,"Sama (≤0,1 dtk)","Periksa"))</x:f>
        <x:v>Sama (≤0,1 dtk)</x:v>
      </x:c>
      <x:c r="P50" s="16" t="str">
        <x:v>titik jalan OSM otomatis dekat penanda; jalan tanpa nama OSM; jarak penanda 29.7 m; akses fisik belum diverifikasi</x:v>
      </x:c>
      <x:c r="Q50" s="16" t="str">
        <x:v>hasil_batch.json (U43)</x:v>
      </x:c>
      <x:c r="R50" s="17" t="n">
        <x:v>14.543700031936169</x:v>
      </x:c>
      <x:c r="S50" s="17" t="n">
        <x:v>5.183700006455183</x:v>
      </x:c>
      <x:c r="T50" s="16" t="n">
        <x:v>623</x:v>
      </x:c>
      <x:c r="U50" s="16" t="n">
        <x:v>317</x:v>
      </x:c>
      <x:c r="V50" s="16" t="str">
        <x:v>Ya</x:v>
      </x:c>
    </x:row>
    <x:row r="51" ht="46" customHeight="1">
      <x:c r="A51" s="13" t="str">
        <x:v>U44</x:v>
      </x:c>
      <x:c r="B51" s="13" t="str">
        <x:v>L11</x:v>
      </x:c>
      <x:c r="C51" s="13" t="str">
        <x:f>'Lokasi'!B18</x:f>
        <x:v>Pasar Pakem</x:v>
      </x:c>
      <x:c r="D51" s="13" t="str">
        <x:v>malam</x:v>
      </x:c>
      <x:c r="E51" s="14" t="n">
        <x:f>IF('Lokasi'!F18="","",'Lokasi'!F18)</x:f>
        <x:v>-7.66555217749513</x:v>
      </x:c>
      <x:c r="F51" s="14" t="n">
        <x:f>IF('Lokasi'!G18="","",'Lokasi'!G18)</x:f>
        <x:v>110.42002509668946</x:v>
      </x:c>
      <x:c r="G51" s="15" t="n">
        <x:v>46295.42314539351</x:v>
      </x:c>
      <x:c r="H51" s="16" t="str">
        <x:v>Berhasil</x:v>
      </x:c>
      <x:c r="I51" s="16" t="str">
        <x:v>RS Panti Nugroho</x:v>
      </x:c>
      <x:c r="J51" s="17" t="n">
        <x:v>743.5983496232034</x:v>
      </x:c>
      <x:c r="K51" s="17" t="n">
        <x:v>0.000006915549388307646</x:v>
      </x:c>
      <x:c r="L51" s="17" t="n">
        <x:v>110.90049668169782</x:v>
      </x:c>
      <x:c r="M51" s="17" t="n">
        <x:v>110.90049668169782</x:v>
      </x:c>
      <x:c r="N51" s="18" t="n">
        <x:f>IF(COUNT(L51:M51)&lt;2,"",ABS(L51-M51))</x:f>
        <x:v>0</x:v>
      </x:c>
      <x:c r="O51" s="13" t="str">
        <x:f>IF(COUNT(L51:M51)&lt;2,"",IF(ABS(L51-M51)&lt;=0.1,"Sama (≤0,1 dtk)","Periksa"))</x:f>
        <x:v>Sama (≤0,1 dtk)</x:v>
      </x:c>
      <x:c r="P51" s="16" t="str">
        <x:v>titik jalan OSM otomatis dekat penanda; jalan tanpa nama OSM; jarak penanda 29.7 m; akses fisik belum diverifikasi</x:v>
      </x:c>
      <x:c r="Q51" s="16" t="str">
        <x:v>hasil_batch.json (U44)</x:v>
      </x:c>
      <x:c r="R51" s="17" t="n">
        <x:v>12.158799916505814</x:v>
      </x:c>
      <x:c r="S51" s="17" t="n">
        <x:v>3.994600148871541</x:v>
      </x:c>
      <x:c r="T51" s="16" t="n">
        <x:v>434</x:v>
      </x:c>
      <x:c r="U51" s="16" t="n">
        <x:v>211</x:v>
      </x:c>
      <x:c r="V51" s="16" t="str">
        <x:v>Ya</x:v>
      </x:c>
    </x:row>
    <x:row r="52" ht="46" customHeight="1">
      <x:c r="A52" s="13" t="str">
        <x:v>U45</x:v>
      </x:c>
      <x:c r="B52" s="13" t="str">
        <x:v>L12</x:v>
      </x:c>
      <x:c r="C52" s="13" t="str">
        <x:f>'Lokasi'!B19</x:f>
        <x:v>Pasar Bantul</x:v>
      </x:c>
      <x:c r="D52" s="13" t="str">
        <x:v>pagi</x:v>
      </x:c>
      <x:c r="E52" s="14" t="n">
        <x:f>IF('Lokasi'!F19="","",'Lokasi'!F19)</x:f>
        <x:v>-7.885038451966714</x:v>
      </x:c>
      <x:c r="F52" s="14" t="n">
        <x:f>IF('Lokasi'!G19="","",'Lokasi'!G19)</x:f>
        <x:v>110.33120242764114</x:v>
      </x:c>
      <x:c r="G52" s="15" t="n">
        <x:v>46295.42322201389</x:v>
      </x:c>
      <x:c r="H52" s="16" t="str">
        <x:v>Berhasil</x:v>
      </x:c>
      <x:c r="I52" s="16" t="str">
        <x:v>RSU PKU Muhammadiyah</x:v>
      </x:c>
      <x:c r="J52" s="17" t="n">
        <x:v>510.6628978763404</x:v>
      </x:c>
      <x:c r="K52" s="17" t="n">
        <x:v>0.000006987951383190264</x:v>
      </x:c>
      <x:c r="L52" s="17" t="n">
        <x:v>123.04264952853583</x:v>
      </x:c>
      <x:c r="M52" s="17" t="n">
        <x:v>123.04264952853583</x:v>
      </x:c>
      <x:c r="N52" s="18" t="n">
        <x:f>IF(COUNT(L52:M52)&lt;2,"",ABS(L52-M52))</x:f>
        <x:v>0</x:v>
      </x:c>
      <x:c r="O52" s="13" t="str">
        <x:f>IF(COUNT(L52:M52)&lt;2,"",IF(ABS(L52-M52)&lt;=0.1,"Sama (≤0,1 dtk)","Periksa"))</x:f>
        <x:v>Sama (≤0,1 dtk)</x:v>
      </x:c>
      <x:c r="P52" s="16" t="str">
        <x:v>titik jalan OSM otomatis dekat penanda; Jalan Jendral Sudirman; jarak penanda 6.1 m; akses fisik belum diverifikasi</x:v>
      </x:c>
      <x:c r="Q52" s="16" t="str">
        <x:v>hasil_batch.json (U45)</x:v>
      </x:c>
      <x:c r="R52" s="17" t="n">
        <x:v>0.2772000152617693</x:v>
      </x:c>
      <x:c r="S52" s="17" t="n">
        <x:v>0.8113998919725418</x:v>
      </x:c>
      <x:c r="T52" s="16" t="n">
        <x:v>50</x:v>
      </x:c>
      <x:c r="U52" s="16" t="n">
        <x:v>42</x:v>
      </x:c>
      <x:c r="V52" s="16" t="str">
        <x:v>Ya</x:v>
      </x:c>
    </x:row>
    <x:row r="53" ht="46" customHeight="1">
      <x:c r="A53" s="13" t="str">
        <x:v>U46</x:v>
      </x:c>
      <x:c r="B53" s="13" t="str">
        <x:v>L12</x:v>
      </x:c>
      <x:c r="C53" s="13" t="str">
        <x:f>'Lokasi'!B19</x:f>
        <x:v>Pasar Bantul</x:v>
      </x:c>
      <x:c r="D53" s="13" t="str">
        <x:v>siang</x:v>
      </x:c>
      <x:c r="E53" s="14" t="n">
        <x:f>IF('Lokasi'!F19="","",'Lokasi'!F19)</x:f>
        <x:v>-7.885038451966714</x:v>
      </x:c>
      <x:c r="F53" s="14" t="n">
        <x:f>IF('Lokasi'!G19="","",'Lokasi'!G19)</x:f>
        <x:v>110.33120242764114</x:v>
      </x:c>
      <x:c r="G53" s="15" t="n">
        <x:v>46295.423272210646</x:v>
      </x:c>
      <x:c r="H53" s="16" t="str">
        <x:v>Berhasil</x:v>
      </x:c>
      <x:c r="I53" s="16" t="str">
        <x:v>RSU PKU Muhammadiyah</x:v>
      </x:c>
      <x:c r="J53" s="17" t="n">
        <x:v>510.6628978763404</x:v>
      </x:c>
      <x:c r="K53" s="17" t="n">
        <x:v>0.000006987951383190264</x:v>
      </x:c>
      <x:c r="L53" s="17" t="n">
        <x:v>97.95794196763096</x:v>
      </x:c>
      <x:c r="M53" s="17" t="n">
        <x:v>97.95794196763096</x:v>
      </x:c>
      <x:c r="N53" s="18" t="n">
        <x:f>IF(COUNT(L53:M53)&lt;2,"",ABS(L53-M53))</x:f>
        <x:v>0</x:v>
      </x:c>
      <x:c r="O53" s="13" t="str">
        <x:f>IF(COUNT(L53:M53)&lt;2,"",IF(ABS(L53-M53)&lt;=0.1,"Sama (≤0,1 dtk)","Periksa"))</x:f>
        <x:v>Sama (≤0,1 dtk)</x:v>
      </x:c>
      <x:c r="P53" s="16" t="str">
        <x:v>titik jalan OSM otomatis dekat penanda; Jalan Jendral Sudirman; jarak penanda 6.1 m; akses fisik belum diverifikasi</x:v>
      </x:c>
      <x:c r="Q53" s="16" t="str">
        <x:v>hasil_batch.json (U46)</x:v>
      </x:c>
      <x:c r="R53" s="17" t="n">
        <x:v>0.26640016585588455</x:v>
      </x:c>
      <x:c r="S53" s="17" t="n">
        <x:v>0.8920999243855476</x:v>
      </x:c>
      <x:c r="T53" s="16" t="n">
        <x:v>50</x:v>
      </x:c>
      <x:c r="U53" s="16" t="n">
        <x:v>42</x:v>
      </x:c>
      <x:c r="V53" s="16" t="str">
        <x:v>Ya</x:v>
      </x:c>
    </x:row>
    <x:row r="54" ht="46" customHeight="1">
      <x:c r="A54" s="13" t="str">
        <x:v>U47</x:v>
      </x:c>
      <x:c r="B54" s="13" t="str">
        <x:v>L12</x:v>
      </x:c>
      <x:c r="C54" s="13" t="str">
        <x:f>'Lokasi'!B19</x:f>
        <x:v>Pasar Bantul</x:v>
      </x:c>
      <x:c r="D54" s="13" t="str">
        <x:v>sore</x:v>
      </x:c>
      <x:c r="E54" s="14" t="n">
        <x:f>IF('Lokasi'!F19="","",'Lokasi'!F19)</x:f>
        <x:v>-7.885038451966714</x:v>
      </x:c>
      <x:c r="F54" s="14" t="n">
        <x:f>IF('Lokasi'!G19="","",'Lokasi'!G19)</x:f>
        <x:v>110.33120242764114</x:v>
      </x:c>
      <x:c r="G54" s="15" t="n">
        <x:v>46295.42330703703</x:v>
      </x:c>
      <x:c r="H54" s="16" t="str">
        <x:v>Berhasil</x:v>
      </x:c>
      <x:c r="I54" s="16" t="str">
        <x:v>RSU PKU Muhammadiyah</x:v>
      </x:c>
      <x:c r="J54" s="17" t="n">
        <x:v>510.6628978763404</x:v>
      </x:c>
      <x:c r="K54" s="17" t="n">
        <x:v>0.000006987951383190264</x:v>
      </x:c>
      <x:c r="L54" s="17" t="n">
        <x:v>85.41558818717854</x:v>
      </x:c>
      <x:c r="M54" s="17" t="n">
        <x:v>85.41558818717854</x:v>
      </x:c>
      <x:c r="N54" s="18" t="n">
        <x:f>IF(COUNT(L54:M54)&lt;2,"",ABS(L54-M54))</x:f>
        <x:v>0</x:v>
      </x:c>
      <x:c r="O54" s="13" t="str">
        <x:f>IF(COUNT(L54:M54)&lt;2,"",IF(ABS(L54-M54)&lt;=0.1,"Sama (≤0,1 dtk)","Periksa"))</x:f>
        <x:v>Sama (≤0,1 dtk)</x:v>
      </x:c>
      <x:c r="P54" s="16" t="str">
        <x:v>titik jalan OSM otomatis dekat penanda; Jalan Jendral Sudirman; jarak penanda 6.1 m; akses fisik belum diverifikasi</x:v>
      </x:c>
      <x:c r="Q54" s="16" t="str">
        <x:v>hasil_batch.json (U47)</x:v>
      </x:c>
      <x:c r="R54" s="17" t="n">
        <x:v>0.2695999573916197</x:v>
      </x:c>
      <x:c r="S54" s="17" t="n">
        <x:v>0.9534000419080257</x:v>
      </x:c>
      <x:c r="T54" s="16" t="n">
        <x:v>50</x:v>
      </x:c>
      <x:c r="U54" s="16" t="n">
        <x:v>42</x:v>
      </x:c>
      <x:c r="V54" s="16" t="str">
        <x:v>Ya</x:v>
      </x:c>
    </x:row>
    <x:row r="55" ht="46" customHeight="1">
      <x:c r="A55" s="13" t="str">
        <x:v>U48</x:v>
      </x:c>
      <x:c r="B55" s="13" t="str">
        <x:v>L12</x:v>
      </x:c>
      <x:c r="C55" s="13" t="str">
        <x:f>'Lokasi'!B19</x:f>
        <x:v>Pasar Bantul</x:v>
      </x:c>
      <x:c r="D55" s="13" t="str">
        <x:v>malam</x:v>
      </x:c>
      <x:c r="E55" s="14" t="n">
        <x:f>IF('Lokasi'!F19="","",'Lokasi'!F19)</x:f>
        <x:v>-7.885038451966714</x:v>
      </x:c>
      <x:c r="F55" s="14" t="n">
        <x:f>IF('Lokasi'!G19="","",'Lokasi'!G19)</x:f>
        <x:v>110.33120242764114</x:v>
      </x:c>
      <x:c r="G55" s="15" t="n">
        <x:v>46295.42335158565</x:v>
      </x:c>
      <x:c r="H55" s="16" t="str">
        <x:v>Berhasil</x:v>
      </x:c>
      <x:c r="I55" s="16" t="str">
        <x:v>RSU PKU Muhammadiyah</x:v>
      </x:c>
      <x:c r="J55" s="17" t="n">
        <x:v>510.6628978763404</x:v>
      </x:c>
      <x:c r="K55" s="17" t="n">
        <x:v>0.000006987951383190264</x:v>
      </x:c>
      <x:c r="L55" s="17" t="n">
        <x:v>60.33088062627369</x:v>
      </x:c>
      <x:c r="M55" s="17" t="n">
        <x:v>60.33088062627369</x:v>
      </x:c>
      <x:c r="N55" s="18" t="n">
        <x:f>IF(COUNT(L55:M55)&lt;2,"",ABS(L55-M55))</x:f>
        <x:v>0</x:v>
      </x:c>
      <x:c r="O55" s="13" t="str">
        <x:f>IF(COUNT(L55:M55)&lt;2,"",IF(ABS(L55-M55)&lt;=0.1,"Sama (≤0,1 dtk)","Periksa"))</x:f>
        <x:v>Sama (≤0,1 dtk)</x:v>
      </x:c>
      <x:c r="P55" s="16" t="str">
        <x:v>titik jalan OSM otomatis dekat penanda; Jalan Jendral Sudirman; jarak penanda 6.1 m; akses fisik belum diverifikasi</x:v>
      </x:c>
      <x:c r="Q55" s="16" t="str">
        <x:v>hasil_batch.json (U48)</x:v>
      </x:c>
      <x:c r="R55" s="17" t="n">
        <x:v>0.26139989495277405</x:v>
      </x:c>
      <x:c r="S55" s="17" t="n">
        <x:v>0.7708999328315258</x:v>
      </x:c>
      <x:c r="T55" s="16" t="n">
        <x:v>50</x:v>
      </x:c>
      <x:c r="U55" s="16" t="n">
        <x:v>42</x:v>
      </x:c>
      <x:c r="V55" s="16" t="str">
        <x:v>Ya</x:v>
      </x:c>
    </x:row>
    <x:row r="56" ht="46" customHeight="1">
      <x:c r="A56" s="13" t="str">
        <x:v>U49</x:v>
      </x:c>
      <x:c r="B56" s="13" t="str">
        <x:v>L13</x:v>
      </x:c>
      <x:c r="C56" s="13" t="str">
        <x:f>'Lokasi'!B20</x:f>
        <x:v>Pasar Imogiri</x:v>
      </x:c>
      <x:c r="D56" s="13" t="str">
        <x:v>pagi</x:v>
      </x:c>
      <x:c r="E56" s="14" t="n">
        <x:f>IF('Lokasi'!F20="","",'Lokasi'!F20)</x:f>
        <x:v>-7.91682152164263</x:v>
      </x:c>
      <x:c r="F56" s="14" t="n">
        <x:f>IF('Lokasi'!G20="","",'Lokasi'!G20)</x:f>
        <x:v>110.38208751740495</x:v>
      </x:c>
      <x:c r="G56" s="15" t="n">
        <x:v>46295.42342173611</x:v>
      </x:c>
      <x:c r="H56" s="16" t="str">
        <x:v>Berhasil</x:v>
      </x:c>
      <x:c r="I56" s="16" t="str">
        <x:v>Rumah Sakit Nur Hidayah</x:v>
      </x:c>
      <x:c r="J56" s="17" t="n">
        <x:v>3510.645962766241</x:v>
      </x:c>
      <x:c r="K56" s="17" t="n">
        <x:v>0.000002321996117223234</x:v>
      </x:c>
      <x:c r="L56" s="17" t="n">
        <x:v>402.23870078697286</x:v>
      </x:c>
      <x:c r="M56" s="17" t="n">
        <x:v>402.23870078697286</x:v>
      </x:c>
      <x:c r="N56" s="18" t="n">
        <x:f>IF(COUNT(L56:M56)&lt;2,"",ABS(L56-M56))</x:f>
        <x:v>0</x:v>
      </x:c>
      <x:c r="O56" s="13" t="str">
        <x:f>IF(COUNT(L56:M56)&lt;2,"",IF(ABS(L56-M56)&lt;=0.1,"Sama (≤0,1 dtk)","Periksa"))</x:f>
        <x:v>Sama (≤0,1 dtk)</x:v>
      </x:c>
      <x:c r="P56" s="16" t="str">
        <x:v>titik jalan OSM otomatis dekat penanda; Jalan Imogiri Timur; jarak penanda 66.4 m; akses fisik belum diverifikasi</x:v>
      </x:c>
      <x:c r="Q56" s="16" t="str">
        <x:v>hasil_batch.json (U49)</x:v>
      </x:c>
      <x:c r="R56" s="17" t="n">
        <x:v>12.705200118944049</x:v>
      </x:c>
      <x:c r="S56" s="17" t="n">
        <x:v>5.679799942299724</x:v>
      </x:c>
      <x:c r="T56" s="16" t="n">
        <x:v>678</x:v>
      </x:c>
      <x:c r="U56" s="16" t="n">
        <x:v>420</x:v>
      </x:c>
      <x:c r="V56" s="16" t="str">
        <x:v>Ya</x:v>
      </x:c>
    </x:row>
    <x:row r="57" ht="46" customHeight="1">
      <x:c r="A57" s="13" t="str">
        <x:v>U50</x:v>
      </x:c>
      <x:c r="B57" s="13" t="str">
        <x:v>L13</x:v>
      </x:c>
      <x:c r="C57" s="13" t="str">
        <x:f>'Lokasi'!B20</x:f>
        <x:v>Pasar Imogiri</x:v>
      </x:c>
      <x:c r="D57" s="13" t="str">
        <x:v>siang</x:v>
      </x:c>
      <x:c r="E57" s="14" t="n">
        <x:f>IF('Lokasi'!F20="","",'Lokasi'!F20)</x:f>
        <x:v>-7.91682152164263</x:v>
      </x:c>
      <x:c r="F57" s="14" t="n">
        <x:f>IF('Lokasi'!G20="","",'Lokasi'!G20)</x:f>
        <x:v>110.38208751740495</x:v>
      </x:c>
      <x:c r="G57" s="15" t="n">
        <x:v>46295.423459895836</x:v>
      </x:c>
      <x:c r="H57" s="16" t="str">
        <x:v>Berhasil</x:v>
      </x:c>
      <x:c r="I57" s="16" t="str">
        <x:v>Rumah Sakit Nur Hidayah</x:v>
      </x:c>
      <x:c r="J57" s="17" t="n">
        <x:v>3510.645962766241</x:v>
      </x:c>
      <x:c r="K57" s="17" t="n">
        <x:v>0.000002321996117223234</x:v>
      </x:c>
      <x:c r="L57" s="17" t="n">
        <x:v>373.47851274096905</x:v>
      </x:c>
      <x:c r="M57" s="17" t="n">
        <x:v>373.47851274096905</x:v>
      </x:c>
      <x:c r="N57" s="18" t="n">
        <x:f>IF(COUNT(L57:M57)&lt;2,"",ABS(L57-M57))</x:f>
        <x:v>0</x:v>
      </x:c>
      <x:c r="O57" s="13" t="str">
        <x:f>IF(COUNT(L57:M57)&lt;2,"",IF(ABS(L57-M57)&lt;=0.1,"Sama (≤0,1 dtk)","Periksa"))</x:f>
        <x:v>Sama (≤0,1 dtk)</x:v>
      </x:c>
      <x:c r="P57" s="16" t="str">
        <x:v>titik jalan OSM otomatis dekat penanda; Jalan Imogiri Timur; jarak penanda 66.4 m; akses fisik belum diverifikasi</x:v>
      </x:c>
      <x:c r="Q57" s="16" t="str">
        <x:v>hasil_batch.json (U50)</x:v>
      </x:c>
      <x:c r="R57" s="17" t="n">
        <x:v>11.970399878919125</x:v>
      </x:c>
      <x:c r="S57" s="17" t="n">
        <x:v>5.806500092148781</x:v>
      </x:c>
      <x:c r="T57" s="16" t="n">
        <x:v>719</x:v>
      </x:c>
      <x:c r="U57" s="16" t="n">
        <x:v>420</x:v>
      </x:c>
      <x:c r="V57" s="16" t="str">
        <x:v>Ya</x:v>
      </x:c>
    </x:row>
    <x:row r="58" ht="46" customHeight="1">
      <x:c r="A58" s="13" t="str">
        <x:v>U51</x:v>
      </x:c>
      <x:c r="B58" s="13" t="str">
        <x:v>L13</x:v>
      </x:c>
      <x:c r="C58" s="13" t="str">
        <x:f>'Lokasi'!B20</x:f>
        <x:v>Pasar Imogiri</x:v>
      </x:c>
      <x:c r="D58" s="13" t="str">
        <x:v>sore</x:v>
      </x:c>
      <x:c r="E58" s="14" t="n">
        <x:f>IF('Lokasi'!F20="","",'Lokasi'!F20)</x:f>
        <x:v>-7.91682152164263</x:v>
      </x:c>
      <x:c r="F58" s="14" t="n">
        <x:f>IF('Lokasi'!G20="","",'Lokasi'!G20)</x:f>
        <x:v>110.38208751740495</x:v>
      </x:c>
      <x:c r="G58" s="15" t="n">
        <x:v>46295.42349894676</x:v>
      </x:c>
      <x:c r="H58" s="16" t="str">
        <x:v>Berhasil</x:v>
      </x:c>
      <x:c r="I58" s="16" t="str">
        <x:v>Rumah Sakit Nur Hidayah</x:v>
      </x:c>
      <x:c r="J58" s="17" t="n">
        <x:v>3510.645962766241</x:v>
      </x:c>
      <x:c r="K58" s="17" t="n">
        <x:v>0.000002321996117223234</x:v>
      </x:c>
      <x:c r="L58" s="17" t="n">
        <x:v>359.0984187179671</x:v>
      </x:c>
      <x:c r="M58" s="17" t="n">
        <x:v>359.0984187179671</x:v>
      </x:c>
      <x:c r="N58" s="18" t="n">
        <x:f>IF(COUNT(L58:M58)&lt;2,"",ABS(L58-M58))</x:f>
        <x:v>0</x:v>
      </x:c>
      <x:c r="O58" s="13" t="str">
        <x:f>IF(COUNT(L58:M58)&lt;2,"",IF(ABS(L58-M58)&lt;=0.1,"Sama (≤0,1 dtk)","Periksa"))</x:f>
        <x:v>Sama (≤0,1 dtk)</x:v>
      </x:c>
      <x:c r="P58" s="16" t="str">
        <x:v>titik jalan OSM otomatis dekat penanda; Jalan Imogiri Timur; jarak penanda 66.4 m; akses fisik belum diverifikasi</x:v>
      </x:c>
      <x:c r="Q58" s="16" t="str">
        <x:v>hasil_batch.json (U51)</x:v>
      </x:c>
      <x:c r="R58" s="17" t="n">
        <x:v>12.55970005877316</x:v>
      </x:c>
      <x:c r="S58" s="17" t="n">
        <x:v>7.921000011265278</x:v>
      </x:c>
      <x:c r="T58" s="16" t="n">
        <x:v>710</x:v>
      </x:c>
      <x:c r="U58" s="16" t="n">
        <x:v>424</x:v>
      </x:c>
      <x:c r="V58" s="16" t="str">
        <x:v>Ya</x:v>
      </x:c>
    </x:row>
    <x:row r="59" ht="46" customHeight="1">
      <x:c r="A59" s="13" t="str">
        <x:v>U52</x:v>
      </x:c>
      <x:c r="B59" s="13" t="str">
        <x:v>L13</x:v>
      </x:c>
      <x:c r="C59" s="13" t="str">
        <x:f>'Lokasi'!B20</x:f>
        <x:v>Pasar Imogiri</x:v>
      </x:c>
      <x:c r="D59" s="13" t="str">
        <x:v>malam</x:v>
      </x:c>
      <x:c r="E59" s="14" t="n">
        <x:f>IF('Lokasi'!F20="","",'Lokasi'!F20)</x:f>
        <x:v>-7.91682152164263</x:v>
      </x:c>
      <x:c r="F59" s="14" t="n">
        <x:f>IF('Lokasi'!G20="","",'Lokasi'!G20)</x:f>
        <x:v>110.38208751740495</x:v>
      </x:c>
      <x:c r="G59" s="15" t="n">
        <x:v>46295.42353848379</x:v>
      </x:c>
      <x:c r="H59" s="16" t="str">
        <x:v>Berhasil</x:v>
      </x:c>
      <x:c r="I59" s="16" t="str">
        <x:v>Rumah Sakit Nur Hidayah</x:v>
      </x:c>
      <x:c r="J59" s="17" t="n">
        <x:v>3510.645962766241</x:v>
      </x:c>
      <x:c r="K59" s="17" t="n">
        <x:v>0.000002321996117223234</x:v>
      </x:c>
      <x:c r="L59" s="17" t="n">
        <x:v>330.33823067196346</x:v>
      </x:c>
      <x:c r="M59" s="17" t="n">
        <x:v>330.33823067196346</x:v>
      </x:c>
      <x:c r="N59" s="18" t="n">
        <x:f>IF(COUNT(L59:M59)&lt;2,"",ABS(L59-M59))</x:f>
        <x:v>0</x:v>
      </x:c>
      <x:c r="O59" s="13" t="str">
        <x:f>IF(COUNT(L59:M59)&lt;2,"",IF(ABS(L59-M59)&lt;=0.1,"Sama (≤0,1 dtk)","Periksa"))</x:f>
        <x:v>Sama (≤0,1 dtk)</x:v>
      </x:c>
      <x:c r="P59" s="16" t="str">
        <x:v>titik jalan OSM otomatis dekat penanda; Jalan Imogiri Timur; jarak penanda 66.4 m; akses fisik belum diverifikasi</x:v>
      </x:c>
      <x:c r="Q59" s="16" t="str">
        <x:v>hasil_batch.json (U52)</x:v>
      </x:c>
      <x:c r="R59" s="17" t="n">
        <x:v>12.205499922856688</x:v>
      </x:c>
      <x:c r="S59" s="17" t="n">
        <x:v>5.579200107604265</x:v>
      </x:c>
      <x:c r="T59" s="16" t="n">
        <x:v>958</x:v>
      </x:c>
      <x:c r="U59" s="16" t="n">
        <x:v>425</x:v>
      </x:c>
      <x:c r="V59" s="16" t="str">
        <x:v>Ya</x:v>
      </x:c>
    </x:row>
    <x:row r="60" ht="46" customHeight="1">
      <x:c r="A60" s="13" t="str">
        <x:v>U53</x:v>
      </x:c>
      <x:c r="B60" s="13" t="str">
        <x:v>L14</x:v>
      </x:c>
      <x:c r="C60" s="13" t="str">
        <x:f>'Lokasi'!B21</x:f>
        <x:v>Stasiun Wates</x:v>
      </x:c>
      <x:c r="D60" s="13" t="str">
        <x:v>pagi</x:v>
      </x:c>
      <x:c r="E60" s="14" t="n">
        <x:f>IF('Lokasi'!F21="","",'Lokasi'!F21)</x:f>
        <x:v>-7.859678742966311</x:v>
      </x:c>
      <x:c r="F60" s="14" t="n">
        <x:f>IF('Lokasi'!G21="","",'Lokasi'!G21)</x:f>
        <x:v>110.15791340120256</x:v>
      </x:c>
      <x:c r="G60" s="15" t="n">
        <x:v>46295.42362900463</x:v>
      </x:c>
      <x:c r="H60" s="16" t="str">
        <x:v>Berhasil</x:v>
      </x:c>
      <x:c r="I60" s="16" t="str">
        <x:v>RS PKU Muhamadiyah Nanggulan</x:v>
      </x:c>
      <x:c r="J60" s="17" t="n">
        <x:v>16603.162491143547</x:v>
      </x:c>
      <x:c r="K60" s="17" t="n">
        <x:v>0.00001762052450078379</x:v>
      </x:c>
      <x:c r="L60" s="17" t="n">
        <x:v>2769.662357114351</x:v>
      </x:c>
      <x:c r="M60" s="17" t="n">
        <x:v>2769.662357114351</x:v>
      </x:c>
      <x:c r="N60" s="18" t="n">
        <x:f>IF(COUNT(L60:M60)&lt;2,"",ABS(L60-M60))</x:f>
        <x:v>0</x:v>
      </x:c>
      <x:c r="O60" s="13" t="str">
        <x:f>IF(COUNT(L60:M60)&lt;2,"",IF(ABS(L60-M60)&lt;=0.1,"Sama (≤0,1 dtk)","Periksa"))</x:f>
        <x:v>Sama (≤0,1 dtk)</x:v>
      </x:c>
      <x:c r="P60" s="16" t="str">
        <x:v>titik jalan OSM otomatis dekat penanda; jalan tanpa nama OSM; jarak penanda 12.9 m; akses fisik belum diverifikasi</x:v>
      </x:c>
      <x:c r="Q60" s="16" t="str">
        <x:v>hasil_batch.json (U53)</x:v>
      </x:c>
      <x:c r="R60" s="17" t="n">
        <x:v>276.9281999208033</x:v>
      </x:c>
      <x:c r="S60" s="17" t="n">
        <x:v>337.79799984768033</x:v>
      </x:c>
      <x:c r="T60" s="16" t="n">
        <x:v>33779</x:v>
      </x:c>
      <x:c r="U60" s="16" t="n">
        <x:v>18575</x:v>
      </x:c>
      <x:c r="V60" s="16" t="str">
        <x:v>Ya</x:v>
      </x:c>
    </x:row>
    <x:row r="61" ht="46" customHeight="1">
      <x:c r="A61" s="13" t="str">
        <x:v>U54</x:v>
      </x:c>
      <x:c r="B61" s="13" t="str">
        <x:v>L14</x:v>
      </x:c>
      <x:c r="C61" s="13" t="str">
        <x:f>'Lokasi'!B21</x:f>
        <x:v>Stasiun Wates</x:v>
      </x:c>
      <x:c r="D61" s="13" t="str">
        <x:v>siang</x:v>
      </x:c>
      <x:c r="E61" s="14" t="n">
        <x:f>IF('Lokasi'!F21="","",'Lokasi'!F21)</x:f>
        <x:v>-7.859678742966311</x:v>
      </x:c>
      <x:c r="F61" s="14" t="n">
        <x:f>IF('Lokasi'!G21="","",'Lokasi'!G21)</x:f>
        <x:v>110.15791340120256</x:v>
      </x:c>
      <x:c r="G61" s="15" t="n">
        <x:v>46295.4236880787</x:v>
      </x:c>
      <x:c r="H61" s="16" t="str">
        <x:v>Berhasil</x:v>
      </x:c>
      <x:c r="I61" s="16" t="str">
        <x:v>RS PKU Muhamadiyah Nanggulan</x:v>
      </x:c>
      <x:c r="J61" s="17" t="n">
        <x:v>16603.162491143547</x:v>
      </x:c>
      <x:c r="K61" s="17" t="n">
        <x:v>0.00001762052450078379</x:v>
      </x:c>
      <x:c r="L61" s="17" t="n">
        <x:v>2523.9893837598356</x:v>
      </x:c>
      <x:c r="M61" s="17" t="n">
        <x:v>2523.9893837598356</x:v>
      </x:c>
      <x:c r="N61" s="18" t="n">
        <x:f>IF(COUNT(L61:M61)&lt;2,"",ABS(L61-M61))</x:f>
        <x:v>0</x:v>
      </x:c>
      <x:c r="O61" s="13" t="str">
        <x:f>IF(COUNT(L61:M61)&lt;2,"",IF(ABS(L61-M61)&lt;=0.1,"Sama (≤0,1 dtk)","Periksa"))</x:f>
        <x:v>Sama (≤0,1 dtk)</x:v>
      </x:c>
      <x:c r="P61" s="16" t="str">
        <x:v>titik jalan OSM otomatis dekat penanda; jalan tanpa nama OSM; jarak penanda 12.9 m; akses fisik belum diverifikasi</x:v>
      </x:c>
      <x:c r="Q61" s="16" t="str">
        <x:v>hasil_batch.json (U54)</x:v>
      </x:c>
      <x:c r="R61" s="17" t="n">
        <x:v>168.07019989937544</x:v>
      </x:c>
      <x:c r="S61" s="17" t="n">
        <x:v>422.81340016052127</x:v>
      </x:c>
      <x:c r="T61" s="16" t="n">
        <x:v>31384</x:v>
      </x:c>
      <x:c r="U61" s="16" t="n">
        <x:v>17181</x:v>
      </x:c>
      <x:c r="V61" s="16" t="str">
        <x:v>Ya</x:v>
      </x:c>
    </x:row>
    <x:row r="62" ht="46" customHeight="1">
      <x:c r="A62" s="13" t="str">
        <x:v>U55</x:v>
      </x:c>
      <x:c r="B62" s="13" t="str">
        <x:v>L14</x:v>
      </x:c>
      <x:c r="C62" s="13" t="str">
        <x:f>'Lokasi'!B21</x:f>
        <x:v>Stasiun Wates</x:v>
      </x:c>
      <x:c r="D62" s="13" t="str">
        <x:v>sore</x:v>
      </x:c>
      <x:c r="E62" s="14" t="n">
        <x:f>IF('Lokasi'!F21="","",'Lokasi'!F21)</x:f>
        <x:v>-7.859678742966311</x:v>
      </x:c>
      <x:c r="F62" s="14" t="n">
        <x:f>IF('Lokasi'!G21="","",'Lokasi'!G21)</x:f>
        <x:v>110.15791340120256</x:v>
      </x:c>
      <x:c r="G62" s="15" t="n">
        <x:v>46295.423744872685</x:v>
      </x:c>
      <x:c r="H62" s="16" t="str">
        <x:v>Berhasil</x:v>
      </x:c>
      <x:c r="I62" s="16" t="str">
        <x:v>RS PKU Muhamadiyah Nanggulan</x:v>
      </x:c>
      <x:c r="J62" s="17" t="n">
        <x:v>16636.958136832065</x:v>
      </x:c>
      <x:c r="K62" s="17" t="n">
        <x:v>0.00001762052450078379</x:v>
      </x:c>
      <x:c r="L62" s="17" t="n">
        <x:v>2469.00115247495</x:v>
      </x:c>
      <x:c r="M62" s="17" t="n">
        <x:v>2469.00115247495</x:v>
      </x:c>
      <x:c r="N62" s="18" t="n">
        <x:f>IF(COUNT(L62:M62)&lt;2,"",ABS(L62-M62))</x:f>
        <x:v>0</x:v>
      </x:c>
      <x:c r="O62" s="13" t="str">
        <x:f>IF(COUNT(L62:M62)&lt;2,"",IF(ABS(L62-M62)&lt;=0.1,"Sama (≤0,1 dtk)","Periksa"))</x:f>
        <x:v>Sama (≤0,1 dtk)</x:v>
      </x:c>
      <x:c r="P62" s="16" t="str">
        <x:v>titik jalan OSM otomatis dekat penanda; jalan tanpa nama OSM; jarak penanda 12.9 m; akses fisik belum diverifikasi</x:v>
      </x:c>
      <x:c r="Q62" s="16" t="str">
        <x:v>hasil_batch.json (U55)</x:v>
      </x:c>
      <x:c r="R62" s="17" t="n">
        <x:v>153.77010009251535</x:v>
      </x:c>
      <x:c r="S62" s="17" t="n">
        <x:v>239.9693001061678</x:v>
      </x:c>
      <x:c r="T62" s="16" t="n">
        <x:v>30328</x:v>
      </x:c>
      <x:c r="U62" s="16" t="n">
        <x:v>16265</x:v>
      </x:c>
      <x:c r="V62" s="16" t="str">
        <x:v>Ya</x:v>
      </x:c>
    </x:row>
    <x:row r="63" ht="46" customHeight="1">
      <x:c r="A63" s="13" t="str">
        <x:v>U56</x:v>
      </x:c>
      <x:c r="B63" s="13" t="str">
        <x:v>L14</x:v>
      </x:c>
      <x:c r="C63" s="13" t="str">
        <x:f>'Lokasi'!B21</x:f>
        <x:v>Stasiun Wates</x:v>
      </x:c>
      <x:c r="D63" s="13" t="str">
        <x:v>malam</x:v>
      </x:c>
      <x:c r="E63" s="14" t="n">
        <x:f>IF('Lokasi'!F21="","",'Lokasi'!F21)</x:f>
        <x:v>-7.859678742966311</x:v>
      </x:c>
      <x:c r="F63" s="14" t="n">
        <x:f>IF('Lokasi'!G21="","",'Lokasi'!G21)</x:f>
        <x:v>110.15791340120256</x:v>
      </x:c>
      <x:c r="G63" s="15" t="n">
        <x:v>46295.42380061342</x:v>
      </x:c>
      <x:c r="H63" s="16" t="str">
        <x:v>Berhasil</x:v>
      </x:c>
      <x:c r="I63" s="16" t="str">
        <x:v>Rumah Sakit PKU Muhammadiyah Gamping</x:v>
      </x:c>
      <x:c r="J63" s="17" t="n">
        <x:v>23297.670304645817</x:v>
      </x:c>
      <x:c r="K63" s="17" t="n">
        <x:v>0.00001762052450078379</x:v>
      </x:c>
      <x:c r="L63" s="17" t="n">
        <x:v>2020.3738686131146</x:v>
      </x:c>
      <x:c r="M63" s="17" t="n">
        <x:v>2020.3738686131146</x:v>
      </x:c>
      <x:c r="N63" s="18" t="n">
        <x:f>IF(COUNT(L63:M63)&lt;2,"",ABS(L63-M63))</x:f>
        <x:v>0</x:v>
      </x:c>
      <x:c r="O63" s="13" t="str">
        <x:f>IF(COUNT(L63:M63)&lt;2,"",IF(ABS(L63-M63)&lt;=0.1,"Sama (≤0,1 dtk)","Periksa"))</x:f>
        <x:v>Sama (≤0,1 dtk)</x:v>
      </x:c>
      <x:c r="P63" s="16" t="str">
        <x:v>titik jalan OSM otomatis dekat penanda; jalan tanpa nama OSM; jarak penanda 12.9 m; akses fisik belum diverifikasi</x:v>
      </x:c>
      <x:c r="Q63" s="16" t="str">
        <x:v>hasil_batch.json (U56)</x:v>
      </x:c>
      <x:c r="R63" s="17" t="n">
        <x:v>861.7757000029087</x:v>
      </x:c>
      <x:c r="S63" s="17" t="n">
        <x:v>391.7531999759376</x:v>
      </x:c>
      <x:c r="T63" s="16" t="n">
        <x:v>26484</x:v>
      </x:c>
      <x:c r="U63" s="16" t="n">
        <x:v>12640</x:v>
      </x:c>
      <x:c r="V63" s="16" t="str">
        <x:v>Ya</x:v>
      </x:c>
    </x:row>
    <x:row r="64" ht="46" customHeight="1">
      <x:c r="A64" s="13" t="str">
        <x:v>U57</x:v>
      </x:c>
      <x:c r="B64" s="13" t="str">
        <x:v>L15</x:v>
      </x:c>
      <x:c r="C64" s="13" t="str">
        <x:f>'Lokasi'!B22</x:f>
        <x:v>Sentolo</x:v>
      </x:c>
      <x:c r="D64" s="13" t="str">
        <x:v>pagi</x:v>
      </x:c>
      <x:c r="E64" s="14" t="n">
        <x:f>IF('Lokasi'!F22="","",'Lokasi'!F22)</x:f>
        <x:v>-7.833847031422651</x:v>
      </x:c>
      <x:c r="F64" s="14" t="n">
        <x:f>IF('Lokasi'!G22="","",'Lokasi'!G22)</x:f>
        <x:v>110.2189445955029</x:v>
      </x:c>
      <x:c r="G64" s="15" t="n">
        <x:v>46295.42388696759</x:v>
      </x:c>
      <x:c r="H64" s="16" t="str">
        <x:v>Berhasil</x:v>
      </x:c>
      <x:c r="I64" s="16" t="str">
        <x:v>RS PKU Muhamadiyah Nanggulan</x:v>
      </x:c>
      <x:c r="J64" s="17" t="n">
        <x:v>13480.666457642905</x:v>
      </x:c>
      <x:c r="K64" s="17" t="n">
        <x:v>0.000004936078364344118</x:v>
      </x:c>
      <x:c r="L64" s="17" t="n">
        <x:v>1793.797143579724</x:v>
      </x:c>
      <x:c r="M64" s="17" t="n">
        <x:v>1793.797143579724</x:v>
      </x:c>
      <x:c r="N64" s="18" t="n">
        <x:f>IF(COUNT(L64:M64)&lt;2,"",ABS(L64-M64))</x:f>
        <x:v>0</x:v>
      </x:c>
      <x:c r="O64" s="13" t="str">
        <x:f>IF(COUNT(L64:M64)&lt;2,"",IF(ABS(L64-M64)&lt;=0.1,"Sama (≤0,1 dtk)","Periksa"))</x:f>
        <x:v>Sama (≤0,1 dtk)</x:v>
      </x:c>
      <x:c r="P64" s="16" t="str">
        <x:v>titik jalan OSM otomatis dekat penanda; jalan tanpa nama OSM; jarak penanda 11.6 m; akses fisik belum diverifikasi</x:v>
      </x:c>
      <x:c r="Q64" s="16" t="str">
        <x:v>hasil_batch.json (U57)</x:v>
      </x:c>
      <x:c r="R64" s="17" t="n">
        <x:v>108.22559986263514</x:v>
      </x:c>
      <x:c r="S64" s="17" t="n">
        <x:v>138.64829996600747</x:v>
      </x:c>
      <x:c r="T64" s="16" t="n">
        <x:v>13728</x:v>
      </x:c>
      <x:c r="U64" s="16" t="n">
        <x:v>7242</x:v>
      </x:c>
      <x:c r="V64" s="16" t="str">
        <x:v>Ya</x:v>
      </x:c>
    </x:row>
    <x:row r="65" ht="46" customHeight="1">
      <x:c r="A65" s="13" t="str">
        <x:v>U58</x:v>
      </x:c>
      <x:c r="B65" s="13" t="str">
        <x:v>L15</x:v>
      </x:c>
      <x:c r="C65" s="13" t="str">
        <x:f>'Lokasi'!B22</x:f>
        <x:v>Sentolo</x:v>
      </x:c>
      <x:c r="D65" s="13" t="str">
        <x:v>siang</x:v>
      </x:c>
      <x:c r="E65" s="14" t="n">
        <x:f>IF('Lokasi'!F22="","",'Lokasi'!F22)</x:f>
        <x:v>-7.833847031422651</x:v>
      </x:c>
      <x:c r="F65" s="14" t="n">
        <x:f>IF('Lokasi'!G22="","",'Lokasi'!G22)</x:f>
        <x:v>110.2189445955029</x:v>
      </x:c>
      <x:c r="G65" s="15" t="n">
        <x:v>46295.4239299537</x:v>
      </x:c>
      <x:c r="H65" s="16" t="str">
        <x:v>Berhasil</x:v>
      </x:c>
      <x:c r="I65" s="16" t="str">
        <x:v>Rumah Sakit PKU Muhammadiyah Gamping</x:v>
      </x:c>
      <x:c r="J65" s="17" t="n">
        <x:v>14320.73538218885</x:v>
      </x:c>
      <x:c r="K65" s="17" t="n">
        <x:v>0.000004936078364344118</x:v>
      </x:c>
      <x:c r="L65" s="17" t="n">
        <x:v>1603.6230862401158</x:v>
      </x:c>
      <x:c r="M65" s="17" t="n">
        <x:v>1603.6230862401158</x:v>
      </x:c>
      <x:c r="N65" s="18" t="n">
        <x:f>IF(COUNT(L65:M65)&lt;2,"",ABS(L65-M65))</x:f>
        <x:v>0</x:v>
      </x:c>
      <x:c r="O65" s="13" t="str">
        <x:f>IF(COUNT(L65:M65)&lt;2,"",IF(ABS(L65-M65)&lt;=0.1,"Sama (≤0,1 dtk)","Periksa"))</x:f>
        <x:v>Sama (≤0,1 dtk)</x:v>
      </x:c>
      <x:c r="P65" s="16" t="str">
        <x:v>titik jalan OSM otomatis dekat penanda; jalan tanpa nama OSM; jarak penanda 11.6 m; akses fisik belum diverifikasi</x:v>
      </x:c>
      <x:c r="Q65" s="16" t="str">
        <x:v>hasil_batch.json (U58)</x:v>
      </x:c>
      <x:c r="R65" s="17" t="n">
        <x:v>91.51690010912716</x:v>
      </x:c>
      <x:c r="S65" s="17" t="n">
        <x:v>124.75190008990467</x:v>
      </x:c>
      <x:c r="T65" s="16" t="n">
        <x:v>12739</x:v>
      </x:c>
      <x:c r="U65" s="16" t="n">
        <x:v>6353</x:v>
      </x:c>
      <x:c r="V65" s="16" t="str">
        <x:v>Ya</x:v>
      </x:c>
    </x:row>
    <x:row r="66" ht="46" customHeight="1">
      <x:c r="A66" s="13" t="str">
        <x:v>U59</x:v>
      </x:c>
      <x:c r="B66" s="13" t="str">
        <x:v>L15</x:v>
      </x:c>
      <x:c r="C66" s="13" t="str">
        <x:f>'Lokasi'!B22</x:f>
        <x:v>Sentolo</x:v>
      </x:c>
      <x:c r="D66" s="13" t="str">
        <x:v>sore</x:v>
      </x:c>
      <x:c r="E66" s="14" t="n">
        <x:f>IF('Lokasi'!F22="","",'Lokasi'!F22)</x:f>
        <x:v>-7.833847031422651</x:v>
      </x:c>
      <x:c r="F66" s="14" t="n">
        <x:f>IF('Lokasi'!G22="","",'Lokasi'!G22)</x:f>
        <x:v>110.2189445955029</x:v>
      </x:c>
      <x:c r="G66" s="15" t="n">
        <x:v>46295.42399131944</x:v>
      </x:c>
      <x:c r="H66" s="16" t="str">
        <x:v>Berhasil</x:v>
      </x:c>
      <x:c r="I66" s="16" t="str">
        <x:v>RS PKU Muhamadiyah Nanggulan</x:v>
      </x:c>
      <x:c r="J66" s="17" t="n">
        <x:v>13480.666457642905</x:v>
      </x:c>
      <x:c r="K66" s="17" t="n">
        <x:v>0.000004936078364344118</x:v>
      </x:c>
      <x:c r="L66" s="17" t="n">
        <x:v>1531.4296201161374</x:v>
      </x:c>
      <x:c r="M66" s="17" t="n">
        <x:v>1531.4296201161374</x:v>
      </x:c>
      <x:c r="N66" s="18" t="n">
        <x:f>IF(COUNT(L66:M66)&lt;2,"",ABS(L66-M66))</x:f>
        <x:v>0</x:v>
      </x:c>
      <x:c r="O66" s="13" t="str">
        <x:f>IF(COUNT(L66:M66)&lt;2,"",IF(ABS(L66-M66)&lt;=0.1,"Sama (≤0,1 dtk)","Periksa"))</x:f>
        <x:v>Sama (≤0,1 dtk)</x:v>
      </x:c>
      <x:c r="P66" s="16" t="str">
        <x:v>titik jalan OSM otomatis dekat penanda; jalan tanpa nama OSM; jarak penanda 11.6 m; akses fisik belum diverifikasi</x:v>
      </x:c>
      <x:c r="Q66" s="16" t="str">
        <x:v>hasil_batch.json (U59)</x:v>
      </x:c>
      <x:c r="R66" s="17" t="n">
        <x:v>92.5000999122858</x:v>
      </x:c>
      <x:c r="S66" s="17" t="n">
        <x:v>116.49990011937916</x:v>
      </x:c>
      <x:c r="T66" s="16" t="n">
        <x:v>11252</x:v>
      </x:c>
      <x:c r="U66" s="16" t="n">
        <x:v>5158</x:v>
      </x:c>
      <x:c r="V66" s="16" t="str">
        <x:v>Ya</x:v>
      </x:c>
    </x:row>
    <x:row r="67" ht="46" customHeight="1">
      <x:c r="A67" s="13" t="str">
        <x:v>U60</x:v>
      </x:c>
      <x:c r="B67" s="13" t="str">
        <x:v>L15</x:v>
      </x:c>
      <x:c r="C67" s="13" t="str">
        <x:f>'Lokasi'!B22</x:f>
        <x:v>Sentolo</x:v>
      </x:c>
      <x:c r="D67" s="13" t="str">
        <x:v>malam</x:v>
      </x:c>
      <x:c r="E67" s="14" t="n">
        <x:f>IF('Lokasi'!F22="","",'Lokasi'!F22)</x:f>
        <x:v>-7.833847031422651</x:v>
      </x:c>
      <x:c r="F67" s="14" t="n">
        <x:f>IF('Lokasi'!G22="","",'Lokasi'!G22)</x:f>
        <x:v>110.2189445955029</x:v>
      </x:c>
      <x:c r="G67" s="15" t="n">
        <x:v>46295.42403702546</x:v>
      </x:c>
      <x:c r="H67" s="16" t="str">
        <x:v>Berhasil</x:v>
      </x:c>
      <x:c r="I67" s="16" t="str">
        <x:v>Rumah Sakit PKU Muhammadiyah Gamping</x:v>
      </x:c>
      <x:c r="J67" s="17" t="n">
        <x:v>14320.73538218885</x:v>
      </x:c>
      <x:c r="K67" s="17" t="n">
        <x:v>0.000004936078364344118</x:v>
      </x:c>
      <x:c r="L67" s="17" t="n">
        <x:v>1268.9774729123542</x:v>
      </x:c>
      <x:c r="M67" s="17" t="n">
        <x:v>1268.9774729123542</x:v>
      </x:c>
      <x:c r="N67" s="18" t="n">
        <x:f>IF(COUNT(L67:M67)&lt;2,"",ABS(L67-M67))</x:f>
        <x:v>0</x:v>
      </x:c>
      <x:c r="O67" s="13" t="str">
        <x:f>IF(COUNT(L67:M67)&lt;2,"",IF(ABS(L67-M67)&lt;=0.1,"Sama (≤0,1 dtk)","Periksa"))</x:f>
        <x:v>Sama (≤0,1 dtk)</x:v>
      </x:c>
      <x:c r="P67" s="16" t="str">
        <x:v>titik jalan OSM otomatis dekat penanda; jalan tanpa nama OSM; jarak penanda 11.6 m; akses fisik belum diverifikasi</x:v>
      </x:c>
      <x:c r="Q67" s="16" t="str">
        <x:v>hasil_batch.json (U60)</x:v>
      </x:c>
      <x:c r="R67" s="17" t="n">
        <x:v>60.23960001766682</x:v>
      </x:c>
      <x:c r="S67" s="17" t="n">
        <x:v>78.13300006091595</x:v>
      </x:c>
      <x:c r="T67" s="16" t="n">
        <x:v>10355</x:v>
      </x:c>
      <x:c r="U67" s="16" t="n">
        <x:v>3987</x:v>
      </x:c>
      <x:c r="V67" s="16" t="str">
        <x:v>Ya</x:v>
      </x:c>
    </x:row>
    <x:row r="68" ht="46" customHeight="1">
      <x:c r="A68" s="13" t="str">
        <x:v>U61</x:v>
      </x:c>
      <x:c r="B68" s="13" t="str">
        <x:v>L16</x:v>
      </x:c>
      <x:c r="C68" s="13" t="str">
        <x:f>'Lokasi'!B23</x:f>
        <x:v>Pasar Argosari</x:v>
      </x:c>
      <x:c r="D68" s="13" t="str">
        <x:v>pagi</x:v>
      </x:c>
      <x:c r="E68" s="14" t="n">
        <x:f>IF('Lokasi'!F23="","",'Lokasi'!F23)</x:f>
        <x:v>-7.968619933383576</x:v>
      </x:c>
      <x:c r="F68" s="14" t="n">
        <x:f>IF('Lokasi'!G23="","",'Lokasi'!G23)</x:f>
        <x:v>110.60240928967313</x:v>
      </x:c>
      <x:c r="G68" s="15" t="n">
        <x:v>46295.424129513885</x:v>
      </x:c>
      <x:c r="H68" s="16" t="str">
        <x:v>Berhasil</x:v>
      </x:c>
      <x:c r="I68" s="16" t="str">
        <x:v>RSUD Wonosari</x:v>
      </x:c>
      <x:c r="J68" s="17" t="n">
        <x:v>1188.0434537019928</x:v>
      </x:c>
      <x:c r="K68" s="17" t="n">
        <x:v>0.000019012213862871697</x:v>
      </x:c>
      <x:c r="L68" s="17" t="n">
        <x:v>383.5315034295326</x:v>
      </x:c>
      <x:c r="M68" s="17" t="n">
        <x:v>383.5315034295326</x:v>
      </x:c>
      <x:c r="N68" s="18" t="n">
        <x:f>IF(COUNT(L68:M68)&lt;2,"",ABS(L68-M68))</x:f>
        <x:v>0</x:v>
      </x:c>
      <x:c r="O68" s="13" t="str">
        <x:f>IF(COUNT(L68:M68)&lt;2,"",IF(ABS(L68-M68)&lt;=0.1,"Sama (≤0,1 dtk)","Periksa"))</x:f>
        <x:v>Sama (≤0,1 dtk)</x:v>
      </x:c>
      <x:c r="P68" s="16" t="str">
        <x:v>titik jalan OSM otomatis dekat penanda; jalan tanpa nama OSM; jarak penanda 47.5 m; akses fisik belum diverifikasi</x:v>
      </x:c>
      <x:c r="Q68" s="16" t="str">
        <x:v>hasil_batch.json (U61)</x:v>
      </x:c>
      <x:c r="R68" s="17" t="n">
        <x:v>14.191600028425455</x:v>
      </x:c>
      <x:c r="S68" s="17" t="n">
        <x:v>16.893999883905053</x:v>
      </x:c>
      <x:c r="T68" s="16" t="n">
        <x:v>1399</x:v>
      </x:c>
      <x:c r="U68" s="16" t="n">
        <x:v>1077</x:v>
      </x:c>
      <x:c r="V68" s="16" t="str">
        <x:v>Ya</x:v>
      </x:c>
    </x:row>
    <x:row r="69" ht="46" customHeight="1">
      <x:c r="A69" s="13" t="str">
        <x:v>U62</x:v>
      </x:c>
      <x:c r="B69" s="13" t="str">
        <x:v>L16</x:v>
      </x:c>
      <x:c r="C69" s="13" t="str">
        <x:f>'Lokasi'!B23</x:f>
        <x:v>Pasar Argosari</x:v>
      </x:c>
      <x:c r="D69" s="13" t="str">
        <x:v>siang</x:v>
      </x:c>
      <x:c r="E69" s="14" t="n">
        <x:f>IF('Lokasi'!F23="","",'Lokasi'!F23)</x:f>
        <x:v>-7.968619933383576</x:v>
      </x:c>
      <x:c r="F69" s="14" t="n">
        <x:f>IF('Lokasi'!G23="","",'Lokasi'!G23)</x:f>
        <x:v>110.60240928967313</x:v>
      </x:c>
      <x:c r="G69" s="15" t="n">
        <x:v>46295.424171712955</x:v>
      </x:c>
      <x:c r="H69" s="16" t="str">
        <x:v>Berhasil</x:v>
      </x:c>
      <x:c r="I69" s="16" t="str">
        <x:v>RSUD Wonosari</x:v>
      </x:c>
      <x:c r="J69" s="17" t="n">
        <x:v>1188.0434537019928</x:v>
      </x:c>
      <x:c r="K69" s="17" t="n">
        <x:v>0.000019012213862871697</x:v>
      </x:c>
      <x:c r="L69" s="17" t="n">
        <x:v>334.76302510087345</x:v>
      </x:c>
      <x:c r="M69" s="17" t="n">
        <x:v>334.76302510087345</x:v>
      </x:c>
      <x:c r="N69" s="18" t="n">
        <x:f>IF(COUNT(L69:M69)&lt;2,"",ABS(L69-M69))</x:f>
        <x:v>0</x:v>
      </x:c>
      <x:c r="O69" s="13" t="str">
        <x:f>IF(COUNT(L69:M69)&lt;2,"",IF(ABS(L69-M69)&lt;=0.1,"Sama (≤0,1 dtk)","Periksa"))</x:f>
        <x:v>Sama (≤0,1 dtk)</x:v>
      </x:c>
      <x:c r="P69" s="16" t="str">
        <x:v>titik jalan OSM otomatis dekat penanda; jalan tanpa nama OSM; jarak penanda 47.5 m; akses fisik belum diverifikasi</x:v>
      </x:c>
      <x:c r="Q69" s="16" t="str">
        <x:v>hasil_batch.json (U62)</x:v>
      </x:c>
      <x:c r="R69" s="17" t="n">
        <x:v>19.52529978007078</x:v>
      </x:c>
      <x:c r="S69" s="17" t="n">
        <x:v>20.56210022419691</x:v>
      </x:c>
      <x:c r="T69" s="16" t="n">
        <x:v>1360</x:v>
      </x:c>
      <x:c r="U69" s="16" t="n">
        <x:v>1023</x:v>
      </x:c>
      <x:c r="V69" s="16" t="str">
        <x:v>Ya</x:v>
      </x:c>
    </x:row>
    <x:row r="70" ht="46" customHeight="1">
      <x:c r="A70" s="13" t="str">
        <x:v>U63</x:v>
      </x:c>
      <x:c r="B70" s="13" t="str">
        <x:v>L16</x:v>
      </x:c>
      <x:c r="C70" s="13" t="str">
        <x:f>'Lokasi'!B23</x:f>
        <x:v>Pasar Argosari</x:v>
      </x:c>
      <x:c r="D70" s="13" t="str">
        <x:v>sore</x:v>
      </x:c>
      <x:c r="E70" s="14" t="n">
        <x:f>IF('Lokasi'!F23="","",'Lokasi'!F23)</x:f>
        <x:v>-7.968619933383576</x:v>
      </x:c>
      <x:c r="F70" s="14" t="n">
        <x:f>IF('Lokasi'!G23="","",'Lokasi'!G23)</x:f>
        <x:v>110.60240928967313</x:v>
      </x:c>
      <x:c r="G70" s="15" t="n">
        <x:v>46295.42420887731</x:v>
      </x:c>
      <x:c r="H70" s="16" t="str">
        <x:v>Berhasil</x:v>
      </x:c>
      <x:c r="I70" s="16" t="str">
        <x:v>RSUD Wonosari</x:v>
      </x:c>
      <x:c r="J70" s="17" t="n">
        <x:v>1188.0434537019928</x:v>
      </x:c>
      <x:c r="K70" s="17" t="n">
        <x:v>0.000019012213862871697</x:v>
      </x:c>
      <x:c r="L70" s="17" t="n">
        <x:v>329.5777047231297</x:v>
      </x:c>
      <x:c r="M70" s="17" t="n">
        <x:v>329.5777047231297</x:v>
      </x:c>
      <x:c r="N70" s="18" t="n">
        <x:f>IF(COUNT(L70:M70)&lt;2,"",ABS(L70-M70))</x:f>
        <x:v>0</x:v>
      </x:c>
      <x:c r="O70" s="13" t="str">
        <x:f>IF(COUNT(L70:M70)&lt;2,"",IF(ABS(L70-M70)&lt;=0.1,"Sama (≤0,1 dtk)","Periksa"))</x:f>
        <x:v>Sama (≤0,1 dtk)</x:v>
      </x:c>
      <x:c r="P70" s="16" t="str">
        <x:v>titik jalan OSM otomatis dekat penanda; jalan tanpa nama OSM; jarak penanda 47.5 m; akses fisik belum diverifikasi</x:v>
      </x:c>
      <x:c r="Q70" s="16" t="str">
        <x:v>hasil_batch.json (U63)</x:v>
      </x:c>
      <x:c r="R70" s="17" t="n">
        <x:v>17.817300045862794</x:v>
      </x:c>
      <x:c r="S70" s="17" t="n">
        <x:v>18.428200157359242</x:v>
      </x:c>
      <x:c r="T70" s="16" t="n">
        <x:v>1340</x:v>
      </x:c>
      <x:c r="U70" s="16" t="n">
        <x:v>992</x:v>
      </x:c>
      <x:c r="V70" s="16" t="str">
        <x:v>Ya</x:v>
      </x:c>
    </x:row>
    <x:row r="71" ht="46" customHeight="1">
      <x:c r="A71" s="13" t="str">
        <x:v>U64</x:v>
      </x:c>
      <x:c r="B71" s="13" t="str">
        <x:v>L16</x:v>
      </x:c>
      <x:c r="C71" s="13" t="str">
        <x:f>'Lokasi'!B23</x:f>
        <x:v>Pasar Argosari</x:v>
      </x:c>
      <x:c r="D71" s="13" t="str">
        <x:v>malam</x:v>
      </x:c>
      <x:c r="E71" s="14" t="n">
        <x:f>IF('Lokasi'!F23="","",'Lokasi'!F23)</x:f>
        <x:v>-7.968619933383576</x:v>
      </x:c>
      <x:c r="F71" s="14" t="n">
        <x:f>IF('Lokasi'!G23="","",'Lokasi'!G23)</x:f>
        <x:v>110.60240928967313</x:v>
      </x:c>
      <x:c r="G71" s="15" t="n">
        <x:v>46295.424254907404</x:v>
      </x:c>
      <x:c r="H71" s="16" t="str">
        <x:v>Berhasil</x:v>
      </x:c>
      <x:c r="I71" s="16" t="str">
        <x:v>RSUD Wonosari</x:v>
      </x:c>
      <x:c r="J71" s="17" t="n">
        <x:v>1188.0434537019928</x:v>
      </x:c>
      <x:c r="K71" s="17" t="n">
        <x:v>0.000019012213862871697</x:v>
      </x:c>
      <x:c r="L71" s="17" t="n">
        <x:v>191.25226622819469</x:v>
      </x:c>
      <x:c r="M71" s="17" t="n">
        <x:v>191.25226622819469</x:v>
      </x:c>
      <x:c r="N71" s="18" t="n">
        <x:f>IF(COUNT(L71:M71)&lt;2,"",ABS(L71-M71))</x:f>
        <x:v>0</x:v>
      </x:c>
      <x:c r="O71" s="13" t="str">
        <x:f>IF(COUNT(L71:M71)&lt;2,"",IF(ABS(L71-M71)&lt;=0.1,"Sama (≤0,1 dtk)","Periksa"))</x:f>
        <x:v>Sama (≤0,1 dtk)</x:v>
      </x:c>
      <x:c r="P71" s="16" t="str">
        <x:v>titik jalan OSM otomatis dekat penanda; jalan tanpa nama OSM; jarak penanda 47.5 m; akses fisik belum diverifikasi</x:v>
      </x:c>
      <x:c r="Q71" s="16" t="str">
        <x:v>hasil_batch.json (U64)</x:v>
      </x:c>
      <x:c r="R71" s="17" t="n">
        <x:v>16.981199849396944</x:v>
      </x:c>
      <x:c r="S71" s="17" t="n">
        <x:v>11.586599983274937</x:v>
      </x:c>
      <x:c r="T71" s="16" t="n">
        <x:v>1071</x:v>
      </x:c>
      <x:c r="U71" s="16" t="n">
        <x:v>747</x:v>
      </x:c>
      <x:c r="V71" s="16" t="str">
        <x:v>Ya</x:v>
      </x:c>
    </x:row>
    <x:row r="72" ht="46" customHeight="1">
      <x:c r="A72" s="13" t="str">
        <x:v>U65</x:v>
      </x:c>
      <x:c r="B72" s="13" t="str">
        <x:v>L17</x:v>
      </x:c>
      <x:c r="C72" s="13" t="str">
        <x:f>'Lokasi'!B24</x:f>
        <x:v>Polsek Playen</x:v>
      </x:c>
      <x:c r="D72" s="13" t="str">
        <x:v>pagi</x:v>
      </x:c>
      <x:c r="E72" s="14" t="n">
        <x:f>IF('Lokasi'!F24="","",'Lokasi'!F24)</x:f>
        <x:v>-7.914557786598566</x:v>
      </x:c>
      <x:c r="F72" s="14" t="n">
        <x:f>IF('Lokasi'!G24="","",'Lokasi'!G24)</x:f>
        <x:v>110.55579562623278</x:v>
      </x:c>
      <x:c r="G72" s="15" t="n">
        <x:v>46295.42433831018</x:v>
      </x:c>
      <x:c r="H72" s="16" t="str">
        <x:v>Berhasil</x:v>
      </x:c>
      <x:c r="I72" s="16" t="str">
        <x:v>RS Nurrohmah</x:v>
      </x:c>
      <x:c r="J72" s="17" t="n">
        <x:v>1103.8890533134193</x:v>
      </x:c>
      <x:c r="K72" s="17" t="n">
        <x:v>0.000006853953479678323</x:v>
      </x:c>
      <x:c r="L72" s="17" t="n">
        <x:v>152.87585936274178</x:v>
      </x:c>
      <x:c r="M72" s="17" t="n">
        <x:v>152.87585936274178</x:v>
      </x:c>
      <x:c r="N72" s="18" t="n">
        <x:f>IF(COUNT(L72:M72)&lt;2,"",ABS(L72-M72))</x:f>
        <x:v>0</x:v>
      </x:c>
      <x:c r="O72" s="13" t="str">
        <x:f>IF(COUNT(L72:M72)&lt;2,"",IF(ABS(L72-M72)&lt;=0.1,"Sama (≤0,1 dtk)","Periksa"))</x:f>
        <x:v>Sama (≤0,1 dtk)</x:v>
      </x:c>
      <x:c r="P72" s="16" t="str">
        <x:v>titik jalan OSM otomatis dekat penanda; Jalan Raya Wonosari - Yogyakarta; jarak penanda 18.1 m; akses fisik belum diverifikasi</x:v>
      </x:c>
      <x:c r="Q72" s="16" t="str">
        <x:v>hasil_batch.json (U65)</x:v>
      </x:c>
      <x:c r="R72" s="17" t="n">
        <x:v>0.8252998813986778</x:v>
      </x:c>
      <x:c r="S72" s="17" t="n">
        <x:v>1.6453999560326338</x:v>
      </x:c>
      <x:c r="T72" s="16" t="n">
        <x:v>139</x:v>
      </x:c>
      <x:c r="U72" s="16" t="n">
        <x:v>58</x:v>
      </x:c>
      <x:c r="V72" s="16" t="str">
        <x:v>Ya</x:v>
      </x:c>
    </x:row>
    <x:row r="73" ht="46" customHeight="1">
      <x:c r="A73" s="13" t="str">
        <x:v>U66</x:v>
      </x:c>
      <x:c r="B73" s="13" t="str">
        <x:v>L17</x:v>
      </x:c>
      <x:c r="C73" s="13" t="str">
        <x:f>'Lokasi'!B24</x:f>
        <x:v>Polsek Playen</x:v>
      </x:c>
      <x:c r="D73" s="13" t="str">
        <x:v>siang</x:v>
      </x:c>
      <x:c r="E73" s="14" t="n">
        <x:f>IF('Lokasi'!F24="","",'Lokasi'!F24)</x:f>
        <x:v>-7.914557786598566</x:v>
      </x:c>
      <x:c r="F73" s="14" t="n">
        <x:f>IF('Lokasi'!G24="","",'Lokasi'!G24)</x:f>
        <x:v>110.55579562623278</x:v>
      </x:c>
      <x:c r="G73" s="15" t="n">
        <x:v>46295.424381585646</x:v>
      </x:c>
      <x:c r="H73" s="16" t="str">
        <x:v>Berhasil</x:v>
      </x:c>
      <x:c r="I73" s="16" t="str">
        <x:v>RS Nurrohmah</x:v>
      </x:c>
      <x:c r="J73" s="17" t="n">
        <x:v>1103.8890533134193</x:v>
      </x:c>
      <x:c r="K73" s="17" t="n">
        <x:v>0.000006853953479678323</x:v>
      </x:c>
      <x:c r="L73" s="17" t="n">
        <x:v>130.07724352134989</x:v>
      </x:c>
      <x:c r="M73" s="17" t="n">
        <x:v>130.07724352134989</x:v>
      </x:c>
      <x:c r="N73" s="18" t="n">
        <x:f>IF(COUNT(L73:M73)&lt;2,"",ABS(L73-M73))</x:f>
        <x:v>0</x:v>
      </x:c>
      <x:c r="O73" s="13" t="str">
        <x:f>IF(COUNT(L73:M73)&lt;2,"",IF(ABS(L73-M73)&lt;=0.1,"Sama (≤0,1 dtk)","Periksa"))</x:f>
        <x:v>Sama (≤0,1 dtk)</x:v>
      </x:c>
      <x:c r="P73" s="16" t="str">
        <x:v>titik jalan OSM otomatis dekat penanda; Jalan Raya Wonosari - Yogyakarta; jarak penanda 18.1 m; akses fisik belum diverifikasi</x:v>
      </x:c>
      <x:c r="Q73" s="16" t="str">
        <x:v>hasil_batch.json (U66)</x:v>
      </x:c>
      <x:c r="R73" s="17" t="n">
        <x:v>0.649699941277504</x:v>
      </x:c>
      <x:c r="S73" s="17" t="n">
        <x:v>1.710499869659543</x:v>
      </x:c>
      <x:c r="T73" s="16" t="n">
        <x:v>155</x:v>
      </x:c>
      <x:c r="U73" s="16" t="n">
        <x:v>59</x:v>
      </x:c>
      <x:c r="V73" s="16" t="str">
        <x:v>Ya</x:v>
      </x:c>
    </x:row>
    <x:row r="74" ht="46" customHeight="1">
      <x:c r="A74" s="13" t="str">
        <x:v>U67</x:v>
      </x:c>
      <x:c r="B74" s="13" t="str">
        <x:v>L17</x:v>
      </x:c>
      <x:c r="C74" s="13" t="str">
        <x:f>'Lokasi'!B24</x:f>
        <x:v>Polsek Playen</x:v>
      </x:c>
      <x:c r="D74" s="13" t="str">
        <x:v>sore</x:v>
      </x:c>
      <x:c r="E74" s="14" t="n">
        <x:f>IF('Lokasi'!F24="","",'Lokasi'!F24)</x:f>
        <x:v>-7.914557786598566</x:v>
      </x:c>
      <x:c r="F74" s="14" t="n">
        <x:f>IF('Lokasi'!G24="","",'Lokasi'!G24)</x:f>
        <x:v>110.55579562623278</x:v>
      </x:c>
      <x:c r="G74" s="15" t="n">
        <x:v>46295.424422199074</x:v>
      </x:c>
      <x:c r="H74" s="16" t="str">
        <x:v>Berhasil</x:v>
      </x:c>
      <x:c r="I74" s="16" t="str">
        <x:v>RS Nurrohmah</x:v>
      </x:c>
      <x:c r="J74" s="17" t="n">
        <x:v>1103.8890533134193</x:v>
      </x:c>
      <x:c r="K74" s="17" t="n">
        <x:v>0.000006853953479678323</x:v>
      </x:c>
      <x:c r="L74" s="17" t="n">
        <x:v>138.67793560065397</x:v>
      </x:c>
      <x:c r="M74" s="17" t="n">
        <x:v>138.67793560065397</x:v>
      </x:c>
      <x:c r="N74" s="18" t="n">
        <x:f>IF(COUNT(L74:M74)&lt;2,"",ABS(L74-M74))</x:f>
        <x:v>0</x:v>
      </x:c>
      <x:c r="O74" s="13" t="str">
        <x:f>IF(COUNT(L74:M74)&lt;2,"",IF(ABS(L74-M74)&lt;=0.1,"Sama (≤0,1 dtk)","Periksa"))</x:f>
        <x:v>Sama (≤0,1 dtk)</x:v>
      </x:c>
      <x:c r="P74" s="16" t="str">
        <x:v>titik jalan OSM otomatis dekat penanda; Jalan Raya Wonosari - Yogyakarta; jarak penanda 18.1 m; akses fisik belum diverifikasi</x:v>
      </x:c>
      <x:c r="Q74" s="16" t="str">
        <x:v>hasil_batch.json (U67)</x:v>
      </x:c>
      <x:c r="R74" s="17" t="n">
        <x:v>0.7227999158203602</x:v>
      </x:c>
      <x:c r="S74" s="17" t="n">
        <x:v>1.0150999296456575</x:v>
      </x:c>
      <x:c r="T74" s="16" t="n">
        <x:v>169</x:v>
      </x:c>
      <x:c r="U74" s="16" t="n">
        <x:v>58</x:v>
      </x:c>
      <x:c r="V74" s="16" t="str">
        <x:v>Ya</x:v>
      </x:c>
    </x:row>
    <x:row r="75" ht="46" customHeight="1">
      <x:c r="A75" s="13" t="str">
        <x:v>U68</x:v>
      </x:c>
      <x:c r="B75" s="13" t="str">
        <x:v>L17</x:v>
      </x:c>
      <x:c r="C75" s="13" t="str">
        <x:f>'Lokasi'!B24</x:f>
        <x:v>Polsek Playen</x:v>
      </x:c>
      <x:c r="D75" s="13" t="str">
        <x:v>malam</x:v>
      </x:c>
      <x:c r="E75" s="14" t="n">
        <x:f>IF('Lokasi'!F24="","",'Lokasi'!F24)</x:f>
        <x:v>-7.914557786598566</x:v>
      </x:c>
      <x:c r="F75" s="14" t="n">
        <x:f>IF('Lokasi'!G24="","",'Lokasi'!G24)</x:f>
        <x:v>110.55579562623278</x:v>
      </x:c>
      <x:c r="G75" s="15" t="n">
        <x:v>46295.42446011573</x:v>
      </x:c>
      <x:c r="H75" s="16" t="str">
        <x:v>Berhasil</x:v>
      </x:c>
      <x:c r="I75" s="16" t="str">
        <x:v>RS Nurrohmah</x:v>
      </x:c>
      <x:c r="J75" s="17" t="n">
        <x:v>1103.8890533134193</x:v>
      </x:c>
      <x:c r="K75" s="17" t="n">
        <x:v>0.000006853953479678323</x:v>
      </x:c>
      <x:c r="L75" s="17" t="n">
        <x:v>100.87931975926212</x:v>
      </x:c>
      <x:c r="M75" s="17" t="n">
        <x:v>100.87931975926212</x:v>
      </x:c>
      <x:c r="N75" s="18" t="n">
        <x:f>IF(COUNT(L75:M75)&lt;2,"",ABS(L75-M75))</x:f>
        <x:v>0</x:v>
      </x:c>
      <x:c r="O75" s="13" t="str">
        <x:f>IF(COUNT(L75:M75)&lt;2,"",IF(ABS(L75-M75)&lt;=0.1,"Sama (≤0,1 dtk)","Periksa"))</x:f>
        <x:v>Sama (≤0,1 dtk)</x:v>
      </x:c>
      <x:c r="P75" s="16" t="str">
        <x:v>titik jalan OSM otomatis dekat penanda; Jalan Raya Wonosari - Yogyakarta; jarak penanda 18.1 m; akses fisik belum diverifikasi</x:v>
      </x:c>
      <x:c r="Q75" s="16" t="str">
        <x:v>hasil_batch.json (U68)</x:v>
      </x:c>
      <x:c r="R75" s="17" t="n">
        <x:v>1.215500058606267</x:v>
      </x:c>
      <x:c r="S75" s="17" t="n">
        <x:v>1.0076998732984066</x:v>
      </x:c>
      <x:c r="T75" s="16" t="n">
        <x:v>182</x:v>
      </x:c>
      <x:c r="U75" s="16" t="n">
        <x:v>57</x:v>
      </x:c>
      <x:c r="V75" s="16" t="str">
        <x:v>Ya</x:v>
      </x:c>
    </x:row>
    <x:row r="76" ht="46" customHeight="1">
      <x:c r="A76" s="13" t="str">
        <x:v>U69</x:v>
      </x:c>
      <x:c r="B76" s="13" t="str">
        <x:v>L18</x:v>
      </x:c>
      <x:c r="C76" s="13" t="str">
        <x:f>'Lokasi'!B25</x:f>
        <x:v>Pasar Prambanan</x:v>
      </x:c>
      <x:c r="D76" s="13" t="str">
        <x:v>pagi</x:v>
      </x:c>
      <x:c r="E76" s="14" t="n">
        <x:f>IF('Lokasi'!F25="","",'Lokasi'!F25)</x:f>
        <x:v>-7.756542963391598</x:v>
      </x:c>
      <x:c r="F76" s="14" t="n">
        <x:f>IF('Lokasi'!G25="","",'Lokasi'!G25)</x:f>
        <x:v>110.48887338210639</x:v>
      </x:c>
      <x:c r="G76" s="15" t="n">
        <x:v>46295.424543414345</x:v>
      </x:c>
      <x:c r="H76" s="16" t="str">
        <x:v>Berhasil</x:v>
      </x:c>
      <x:c r="I76" s="16" t="str">
        <x:v>Rumah Sakit Bhayangkara</x:v>
      </x:c>
      <x:c r="J76" s="17" t="n">
        <x:v>6593.661894883701</x:v>
      </x:c>
      <x:c r="K76" s="17" t="n">
        <x:v>0.0000052734360068902915</x:v>
      </x:c>
      <x:c r="L76" s="17" t="n">
        <x:v>1027.162924174899</x:v>
      </x:c>
      <x:c r="M76" s="17" t="n">
        <x:v>1027.162924174899</x:v>
      </x:c>
      <x:c r="N76" s="18" t="n">
        <x:f>IF(COUNT(L76:M76)&lt;2,"",ABS(L76-M76))</x:f>
        <x:v>0</x:v>
      </x:c>
      <x:c r="O76" s="13" t="str">
        <x:f>IF(COUNT(L76:M76)&lt;2,"",IF(ABS(L76-M76)&lt;=0.1,"Sama (≤0,1 dtk)","Periksa"))</x:f>
        <x:v>Sama (≤0,1 dtk)</x:v>
      </x:c>
      <x:c r="P76" s="16" t="str">
        <x:v>titik jalan OSM otomatis dekat penanda; jalan tanpa nama OSM; jarak penanda 34.3 m; akses fisik belum diverifikasi</x:v>
      </x:c>
      <x:c r="Q76" s="16" t="str">
        <x:v>hasil_batch.json (U69)</x:v>
      </x:c>
      <x:c r="R76" s="17" t="n">
        <x:v>30.075800139456987</x:v>
      </x:c>
      <x:c r="S76" s="17" t="n">
        <x:v>47.30780003592372</x:v>
      </x:c>
      <x:c r="T76" s="16" t="n">
        <x:v>4244</x:v>
      </x:c>
      <x:c r="U76" s="16" t="n">
        <x:v>3067</x:v>
      </x:c>
      <x:c r="V76" s="16" t="str">
        <x:v>Ya</x:v>
      </x:c>
    </x:row>
    <x:row r="77" ht="46" customHeight="1">
      <x:c r="A77" s="13" t="str">
        <x:v>U70</x:v>
      </x:c>
      <x:c r="B77" s="13" t="str">
        <x:v>L18</x:v>
      </x:c>
      <x:c r="C77" s="13" t="str">
        <x:f>'Lokasi'!B25</x:f>
        <x:v>Pasar Prambanan</x:v>
      </x:c>
      <x:c r="D77" s="13" t="str">
        <x:v>siang</x:v>
      </x:c>
      <x:c r="E77" s="14" t="n">
        <x:f>IF('Lokasi'!F25="","",'Lokasi'!F25)</x:f>
        <x:v>-7.756542963391598</x:v>
      </x:c>
      <x:c r="F77" s="14" t="n">
        <x:f>IF('Lokasi'!G25="","",'Lokasi'!G25)</x:f>
        <x:v>110.48887338210639</x:v>
      </x:c>
      <x:c r="G77" s="15" t="n">
        <x:v>46295.42458206019</x:v>
      </x:c>
      <x:c r="H77" s="16" t="str">
        <x:v>Berhasil</x:v>
      </x:c>
      <x:c r="I77" s="16" t="str">
        <x:v>Rumah Sakit Bhayangkara</x:v>
      </x:c>
      <x:c r="J77" s="17" t="n">
        <x:v>6881.036972301773</x:v>
      </x:c>
      <x:c r="K77" s="17" t="n">
        <x:v>0.0000052734360068902915</x:v>
      </x:c>
      <x:c r="L77" s="17" t="n">
        <x:v>935.0573168256387</x:v>
      </x:c>
      <x:c r="M77" s="17" t="n">
        <x:v>935.0573168256387</x:v>
      </x:c>
      <x:c r="N77" s="18" t="n">
        <x:f>IF(COUNT(L77:M77)&lt;2,"",ABS(L77-M77))</x:f>
        <x:v>0</x:v>
      </x:c>
      <x:c r="O77" s="13" t="str">
        <x:f>IF(COUNT(L77:M77)&lt;2,"",IF(ABS(L77-M77)&lt;=0.1,"Sama (≤0,1 dtk)","Periksa"))</x:f>
        <x:v>Sama (≤0,1 dtk)</x:v>
      </x:c>
      <x:c r="P77" s="16" t="str">
        <x:v>titik jalan OSM otomatis dekat penanda; jalan tanpa nama OSM; jarak penanda 34.3 m; akses fisik belum diverifikasi</x:v>
      </x:c>
      <x:c r="Q77" s="16" t="str">
        <x:v>hasil_batch.json (U70)</x:v>
      </x:c>
      <x:c r="R77" s="17" t="n">
        <x:v>26.356799993664026</x:v>
      </x:c>
      <x:c r="S77" s="17" t="n">
        <x:v>47.86300007253885</x:v>
      </x:c>
      <x:c r="T77" s="16" t="n">
        <x:v>4111</x:v>
      </x:c>
      <x:c r="U77" s="16" t="n">
        <x:v>3125</x:v>
      </x:c>
      <x:c r="V77" s="16" t="str">
        <x:v>Ya</x:v>
      </x:c>
    </x:row>
    <x:row r="78" ht="46" customHeight="1">
      <x:c r="A78" s="13" t="str">
        <x:v>U71</x:v>
      </x:c>
      <x:c r="B78" s="13" t="str">
        <x:v>L18</x:v>
      </x:c>
      <x:c r="C78" s="13" t="str">
        <x:f>'Lokasi'!B25</x:f>
        <x:v>Pasar Prambanan</x:v>
      </x:c>
      <x:c r="D78" s="13" t="str">
        <x:v>sore</x:v>
      </x:c>
      <x:c r="E78" s="14" t="n">
        <x:f>IF('Lokasi'!F25="","",'Lokasi'!F25)</x:f>
        <x:v>-7.756542963391598</x:v>
      </x:c>
      <x:c r="F78" s="14" t="n">
        <x:f>IF('Lokasi'!G25="","",'Lokasi'!G25)</x:f>
        <x:v>110.48887338210639</x:v>
      </x:c>
      <x:c r="G78" s="15" t="n">
        <x:v>46295.42462712963</x:v>
      </x:c>
      <x:c r="H78" s="16" t="str">
        <x:v>Berhasil</x:v>
      </x:c>
      <x:c r="I78" s="16" t="str">
        <x:v>RSUD PRAMBANAN</x:v>
      </x:c>
      <x:c r="J78" s="17" t="n">
        <x:v>5883.278659843425</x:v>
      </x:c>
      <x:c r="K78" s="17" t="n">
        <x:v>0.0000052734360068902915</x:v>
      </x:c>
      <x:c r="L78" s="17" t="n">
        <x:v>834.7777984143222</x:v>
      </x:c>
      <x:c r="M78" s="17" t="n">
        <x:v>834.7777984143222</x:v>
      </x:c>
      <x:c r="N78" s="18" t="n">
        <x:f>IF(COUNT(L78:M78)&lt;2,"",ABS(L78-M78))</x:f>
        <x:v>0</x:v>
      </x:c>
      <x:c r="O78" s="13" t="str">
        <x:f>IF(COUNT(L78:M78)&lt;2,"",IF(ABS(L78-M78)&lt;=0.1,"Sama (≤0,1 dtk)","Periksa"))</x:f>
        <x:v>Sama (≤0,1 dtk)</x:v>
      </x:c>
      <x:c r="P78" s="16" t="str">
        <x:v>titik jalan OSM otomatis dekat penanda; jalan tanpa nama OSM; jarak penanda 34.3 m; akses fisik belum diverifikasi</x:v>
      </x:c>
      <x:c r="Q78" s="16" t="str">
        <x:v>hasil_batch.json (U71)</x:v>
      </x:c>
      <x:c r="R78" s="17" t="n">
        <x:v>25.323699926957488</x:v>
      </x:c>
      <x:c r="S78" s="17" t="n">
        <x:v>37.988899974152446</x:v>
      </x:c>
      <x:c r="T78" s="16" t="n">
        <x:v>3861</x:v>
      </x:c>
      <x:c r="U78" s="16" t="n">
        <x:v>2556</x:v>
      </x:c>
      <x:c r="V78" s="16" t="str">
        <x:v>Ya</x:v>
      </x:c>
    </x:row>
    <x:row r="79" ht="46" customHeight="1">
      <x:c r="A79" s="13" t="str">
        <x:v>U72</x:v>
      </x:c>
      <x:c r="B79" s="13" t="str">
        <x:v>L18</x:v>
      </x:c>
      <x:c r="C79" s="13" t="str">
        <x:f>'Lokasi'!B25</x:f>
        <x:v>Pasar Prambanan</x:v>
      </x:c>
      <x:c r="D79" s="13" t="str">
        <x:v>malam</x:v>
      </x:c>
      <x:c r="E79" s="14" t="n">
        <x:f>IF('Lokasi'!F25="","",'Lokasi'!F25)</x:f>
        <x:v>-7.756542963391598</x:v>
      </x:c>
      <x:c r="F79" s="14" t="n">
        <x:f>IF('Lokasi'!G25="","",'Lokasi'!G25)</x:f>
        <x:v>110.48887338210639</x:v>
      </x:c>
      <x:c r="G79" s="15" t="n">
        <x:v>46295.42466104167</x:v>
      </x:c>
      <x:c r="H79" s="16" t="str">
        <x:v>Berhasil</x:v>
      </x:c>
      <x:c r="I79" s="16" t="str">
        <x:v>RSUD PRAMBANAN</x:v>
      </x:c>
      <x:c r="J79" s="17" t="n">
        <x:v>5883.278659843425</x:v>
      </x:c>
      <x:c r="K79" s="17" t="n">
        <x:v>0.0000052734360068902915</x:v>
      </x:c>
      <x:c r="L79" s="17" t="n">
        <x:v>642.1896132173894</x:v>
      </x:c>
      <x:c r="M79" s="17" t="n">
        <x:v>642.1896132173894</x:v>
      </x:c>
      <x:c r="N79" s="18" t="n">
        <x:f>IF(COUNT(L79:M79)&lt;2,"",ABS(L79-M79))</x:f>
        <x:v>0</x:v>
      </x:c>
      <x:c r="O79" s="13" t="str">
        <x:f>IF(COUNT(L79:M79)&lt;2,"",IF(ABS(L79-M79)&lt;=0.1,"Sama (≤0,1 dtk)","Periksa"))</x:f>
        <x:v>Sama (≤0,1 dtk)</x:v>
      </x:c>
      <x:c r="P79" s="16" t="str">
        <x:v>titik jalan OSM otomatis dekat penanda; jalan tanpa nama OSM; jarak penanda 34.3 m; akses fisik belum diverifikasi</x:v>
      </x:c>
      <x:c r="Q79" s="16" t="str">
        <x:v>hasil_batch.json (U72)</x:v>
      </x:c>
      <x:c r="R79" s="17" t="n">
        <x:v>33.05070009082556</x:v>
      </x:c>
      <x:c r="S79" s="17" t="n">
        <x:v>25.2555999904871</x:v>
      </x:c>
      <x:c r="T79" s="16" t="n">
        <x:v>3319</x:v>
      </x:c>
      <x:c r="U79" s="16" t="n">
        <x:v>1807</x:v>
      </x:c>
      <x:c r="V79" s="16" t="str">
        <x:v>Ya</x:v>
      </x:c>
    </x:row>
    <x:row r="80" ht="46" customHeight="1">
      <x:c r="A80" s="13" t="str">
        <x:v>U73</x:v>
      </x:c>
      <x:c r="B80" s="13" t="str">
        <x:v>L19</x:v>
      </x:c>
      <x:c r="C80" s="13" t="str">
        <x:f>'Lokasi'!B26</x:f>
        <x:v>SMP Negeri 2 Kalasan</x:v>
      </x:c>
      <x:c r="D80" s="13" t="str">
        <x:v>pagi</x:v>
      </x:c>
      <x:c r="E80" s="14" t="n">
        <x:f>IF('Lokasi'!F26="","",'Lokasi'!F26)</x:f>
        <x:v>-7.724134501957991</x:v>
      </x:c>
      <x:c r="F80" s="14" t="n">
        <x:f>IF('Lokasi'!G26="","",'Lokasi'!G26)</x:f>
        <x:v>110.46983167418624</x:v>
      </x:c>
      <x:c r="G80" s="15" t="n">
        <x:v>46295.424736284716</x:v>
      </x:c>
      <x:c r="H80" s="16" t="str">
        <x:v>Berhasil</x:v>
      </x:c>
      <x:c r="I80" s="16" t="str">
        <x:v>RSU Mitra Paramedika</x:v>
      </x:c>
      <x:c r="J80" s="17" t="n">
        <x:v>4755.8338302112825</x:v>
      </x:c>
      <x:c r="K80" s="17" t="n">
        <x:v>0.000006585567442691074</x:v>
      </x:c>
      <x:c r="L80" s="17" t="n">
        <x:v>798.237258290521</x:v>
      </x:c>
      <x:c r="M80" s="17" t="n">
        <x:v>798.237258290521</x:v>
      </x:c>
      <x:c r="N80" s="18" t="n">
        <x:f>IF(COUNT(L80:M80)&lt;2,"",ABS(L80-M80))</x:f>
        <x:v>0</x:v>
      </x:c>
      <x:c r="O80" s="13" t="str">
        <x:f>IF(COUNT(L80:M80)&lt;2,"",IF(ABS(L80-M80)&lt;=0.1,"Sama (≤0,1 dtk)","Periksa"))</x:f>
        <x:v>Sama (≤0,1 dtk)</x:v>
      </x:c>
      <x:c r="P80" s="16" t="str">
        <x:v>titik jalan OSM otomatis dekat penanda; jalan tanpa nama OSM; jarak penanda 24.0 m; akses fisik belum diverifikasi</x:v>
      </x:c>
      <x:c r="Q80" s="16" t="str">
        <x:v>hasil_batch.json (U73)</x:v>
      </x:c>
      <x:c r="R80" s="17" t="n">
        <x:v>45.09559995494783</x:v>
      </x:c>
      <x:c r="S80" s="17" t="n">
        <x:v>57.28960013948381</x:v>
      </x:c>
      <x:c r="T80" s="16" t="n">
        <x:v>5479</x:v>
      </x:c>
      <x:c r="U80" s="16" t="n">
        <x:v>3949</x:v>
      </x:c>
      <x:c r="V80" s="16" t="str">
        <x:v>Ya</x:v>
      </x:c>
    </x:row>
    <x:row r="81" ht="46" customHeight="1">
      <x:c r="A81" s="13" t="str">
        <x:v>U74</x:v>
      </x:c>
      <x:c r="B81" s="13" t="str">
        <x:v>L19</x:v>
      </x:c>
      <x:c r="C81" s="13" t="str">
        <x:f>'Lokasi'!B26</x:f>
        <x:v>SMP Negeri 2 Kalasan</x:v>
      </x:c>
      <x:c r="D81" s="13" t="str">
        <x:v>siang</x:v>
      </x:c>
      <x:c r="E81" s="14" t="n">
        <x:f>IF('Lokasi'!F26="","",'Lokasi'!F26)</x:f>
        <x:v>-7.724134501957991</x:v>
      </x:c>
      <x:c r="F81" s="14" t="n">
        <x:f>IF('Lokasi'!G26="","",'Lokasi'!G26)</x:f>
        <x:v>110.46983167418624</x:v>
      </x:c>
      <x:c r="G81" s="15" t="n">
        <x:v>46295.42477722222</x:v>
      </x:c>
      <x:c r="H81" s="16" t="str">
        <x:v>Berhasil</x:v>
      </x:c>
      <x:c r="I81" s="16" t="str">
        <x:v>RSU Mitra Paramedika</x:v>
      </x:c>
      <x:c r="J81" s="17" t="n">
        <x:v>4755.8338302112825</x:v>
      </x:c>
      <x:c r="K81" s="17" t="n">
        <x:v>0.000006585567442691074</x:v>
      </x:c>
      <x:c r="L81" s="17" t="n">
        <x:v>729.0097093120418</x:v>
      </x:c>
      <x:c r="M81" s="17" t="n">
        <x:v>729.0097093120418</x:v>
      </x:c>
      <x:c r="N81" s="18" t="n">
        <x:f>IF(COUNT(L81:M81)&lt;2,"",ABS(L81-M81))</x:f>
        <x:v>0</x:v>
      </x:c>
      <x:c r="O81" s="13" t="str">
        <x:f>IF(COUNT(L81:M81)&lt;2,"",IF(ABS(L81-M81)&lt;=0.1,"Sama (≤0,1 dtk)","Periksa"))</x:f>
        <x:v>Sama (≤0,1 dtk)</x:v>
      </x:c>
      <x:c r="P81" s="16" t="str">
        <x:v>titik jalan OSM otomatis dekat penanda; jalan tanpa nama OSM; jarak penanda 24.0 m; akses fisik belum diverifikasi</x:v>
      </x:c>
      <x:c r="Q81" s="16" t="str">
        <x:v>hasil_batch.json (U74)</x:v>
      </x:c>
      <x:c r="R81" s="17" t="n">
        <x:v>32.49030001461506</x:v>
      </x:c>
      <x:c r="S81" s="17" t="n">
        <x:v>54.76259998977184</x:v>
      </x:c>
      <x:c r="T81" s="16" t="n">
        <x:v>5202</x:v>
      </x:c>
      <x:c r="U81" s="16" t="n">
        <x:v>3654</x:v>
      </x:c>
      <x:c r="V81" s="16" t="str">
        <x:v>Ya</x:v>
      </x:c>
    </x:row>
    <x:row r="82" ht="46" customHeight="1">
      <x:c r="A82" s="13" t="str">
        <x:v>U75</x:v>
      </x:c>
      <x:c r="B82" s="13" t="str">
        <x:v>L19</x:v>
      </x:c>
      <x:c r="C82" s="13" t="str">
        <x:f>'Lokasi'!B26</x:f>
        <x:v>SMP Negeri 2 Kalasan</x:v>
      </x:c>
      <x:c r="D82" s="13" t="str">
        <x:v>sore</x:v>
      </x:c>
      <x:c r="E82" s="14" t="n">
        <x:f>IF('Lokasi'!F26="","",'Lokasi'!F26)</x:f>
        <x:v>-7.724134501957991</x:v>
      </x:c>
      <x:c r="F82" s="14" t="n">
        <x:f>IF('Lokasi'!G26="","",'Lokasi'!G26)</x:f>
        <x:v>110.46983167418624</x:v>
      </x:c>
      <x:c r="G82" s="15" t="n">
        <x:v>46295.424816516206</x:v>
      </x:c>
      <x:c r="H82" s="16" t="str">
        <x:v>Berhasil</x:v>
      </x:c>
      <x:c r="I82" s="16" t="str">
        <x:v>RSU Mitra Paramedika</x:v>
      </x:c>
      <x:c r="J82" s="17" t="n">
        <x:v>4755.8338302112825</x:v>
      </x:c>
      <x:c r="K82" s="17" t="n">
        <x:v>0.000006585567442691074</x:v>
      </x:c>
      <x:c r="L82" s="17" t="n">
        <x:v>652.3334801283719</x:v>
      </x:c>
      <x:c r="M82" s="17" t="n">
        <x:v>652.3334801283719</x:v>
      </x:c>
      <x:c r="N82" s="18" t="n">
        <x:f>IF(COUNT(L82:M82)&lt;2,"",ABS(L82-M82))</x:f>
        <x:v>0</x:v>
      </x:c>
      <x:c r="O82" s="13" t="str">
        <x:f>IF(COUNT(L82:M82)&lt;2,"",IF(ABS(L82-M82)&lt;=0.1,"Sama (≤0,1 dtk)","Periksa"))</x:f>
        <x:v>Sama (≤0,1 dtk)</x:v>
      </x:c>
      <x:c r="P82" s="16" t="str">
        <x:v>titik jalan OSM otomatis dekat penanda; jalan tanpa nama OSM; jarak penanda 24.0 m; akses fisik belum diverifikasi</x:v>
      </x:c>
      <x:c r="Q82" s="16" t="str">
        <x:v>hasil_batch.json (U75)</x:v>
      </x:c>
      <x:c r="R82" s="17" t="n">
        <x:v>34.830400021746755</x:v>
      </x:c>
      <x:c r="S82" s="17" t="n">
        <x:v>55.129599990323186</x:v>
      </x:c>
      <x:c r="T82" s="16" t="n">
        <x:v>4893</x:v>
      </x:c>
      <x:c r="U82" s="16" t="n">
        <x:v>3396</x:v>
      </x:c>
      <x:c r="V82" s="16" t="str">
        <x:v>Ya</x:v>
      </x:c>
    </x:row>
    <x:row r="83" ht="46" customHeight="1">
      <x:c r="A83" s="13" t="str">
        <x:v>U76</x:v>
      </x:c>
      <x:c r="B83" s="13" t="str">
        <x:v>L19</x:v>
      </x:c>
      <x:c r="C83" s="13" t="str">
        <x:f>'Lokasi'!B26</x:f>
        <x:v>SMP Negeri 2 Kalasan</x:v>
      </x:c>
      <x:c r="D83" s="13" t="str">
        <x:v>malam</x:v>
      </x:c>
      <x:c r="E83" s="14" t="n">
        <x:f>IF('Lokasi'!F26="","",'Lokasi'!F26)</x:f>
        <x:v>-7.724134501957991</x:v>
      </x:c>
      <x:c r="F83" s="14" t="n">
        <x:f>IF('Lokasi'!G26="","",'Lokasi'!G26)</x:f>
        <x:v>110.46983167418624</x:v>
      </x:c>
      <x:c r="G83" s="15" t="n">
        <x:v>46295.42485711806</x:v>
      </x:c>
      <x:c r="H83" s="16" t="str">
        <x:v>Berhasil</x:v>
      </x:c>
      <x:c r="I83" s="16" t="str">
        <x:v>RSU Mitra Paramedika</x:v>
      </x:c>
      <x:c r="J83" s="17" t="n">
        <x:v>4755.8338302112825</x:v>
      </x:c>
      <x:c r="K83" s="17" t="n">
        <x:v>0.000006585567442691074</x:v>
      </x:c>
      <x:c r="L83" s="17" t="n">
        <x:v>583.105931149893</x:v>
      </x:c>
      <x:c r="M83" s="17" t="n">
        <x:v>583.105931149893</x:v>
      </x:c>
      <x:c r="N83" s="18" t="n">
        <x:f>IF(COUNT(L83:M83)&lt;2,"",ABS(L83-M83))</x:f>
        <x:v>0</x:v>
      </x:c>
      <x:c r="O83" s="13" t="str">
        <x:f>IF(COUNT(L83:M83)&lt;2,"",IF(ABS(L83-M83)&lt;=0.1,"Sama (≤0,1 dtk)","Periksa"))</x:f>
        <x:v>Sama (≤0,1 dtk)</x:v>
      </x:c>
      <x:c r="P83" s="16" t="str">
        <x:v>titik jalan OSM otomatis dekat penanda; jalan tanpa nama OSM; jarak penanda 24.0 m; akses fisik belum diverifikasi</x:v>
      </x:c>
      <x:c r="Q83" s="16" t="str">
        <x:v>hasil_batch.json (U76)</x:v>
      </x:c>
      <x:c r="R83" s="17" t="n">
        <x:v>42.0870000962168</x:v>
      </x:c>
      <x:c r="S83" s="17" t="n">
        <x:v>56.890999898314476</x:v>
      </x:c>
      <x:c r="T83" s="16" t="n">
        <x:v>4837</x:v>
      </x:c>
      <x:c r="U83" s="16" t="n">
        <x:v>3187</x:v>
      </x:c>
      <x:c r="V83" s="16" t="str">
        <x:v>Ya</x:v>
      </x:c>
    </x:row>
    <x:row r="84" ht="46" customHeight="1">
      <x:c r="A84" s="13" t="str">
        <x:v>U77</x:v>
      </x:c>
      <x:c r="B84" s="13" t="str">
        <x:v>L20</x:v>
      </x:c>
      <x:c r="C84" s="13" t="str">
        <x:f>'Lokasi'!B27</x:f>
        <x:v>Jalan Universitas Muhammadiyah Yogyakarta</x:v>
      </x:c>
      <x:c r="D84" s="13" t="str">
        <x:v>pagi</x:v>
      </x:c>
      <x:c r="E84" s="14" t="n">
        <x:f>IF('Lokasi'!F27="","",'Lokasi'!F27)</x:f>
        <x:v>-7.8109131098308735</x:v>
      </x:c>
      <x:c r="F84" s="14" t="n">
        <x:f>IF('Lokasi'!G27="","",'Lokasi'!G27)</x:f>
        <x:v>110.32233769800055</x:v>
      </x:c>
      <x:c r="G84" s="15" t="n">
        <x:v>46295.424936874995</x:v>
      </x:c>
      <x:c r="H84" s="16" t="str">
        <x:v>Berhasil</x:v>
      </x:c>
      <x:c r="I84" s="16" t="str">
        <x:v>Rumah Sakit PKU Muhammadiyah Gamping</x:v>
      </x:c>
      <x:c r="J84" s="17" t="n">
        <x:v>2270.36971083085</x:v>
      </x:c>
      <x:c r="K84" s="17" t="n">
        <x:v>0.0000012366629076491097</x:v>
      </x:c>
      <x:c r="L84" s="17" t="n">
        <x:v>487.7531285454999</x:v>
      </x:c>
      <x:c r="M84" s="17" t="n">
        <x:v>487.7531285454999</x:v>
      </x:c>
      <x:c r="N84" s="18" t="n">
        <x:f>IF(COUNT(L84:M84)&lt;2,"",ABS(L84-M84))</x:f>
        <x:v>0</x:v>
      </x:c>
      <x:c r="O84" s="13" t="str">
        <x:f>IF(COUNT(L84:M84)&lt;2,"",IF(ABS(L84-M84)&lt;=0.1,"Sama (≤0,1 dtk)","Periksa"))</x:f>
        <x:v>Sama (≤0,1 dtk)</x:v>
      </x:c>
      <x:c r="P84" s="16" t="str">
        <x:v>titik jalan OSM otomatis dekat penanda; Jalan Universitas Muhammadiyah Yogyakarta; jarak penanda 0.0 m; akses fisik belum diverifikasi</x:v>
      </x:c>
      <x:c r="Q84" s="16" t="str">
        <x:v>hasil_batch.json (U77)</x:v>
      </x:c>
      <x:c r="R84" s="17" t="n">
        <x:v>4.065699875354767</x:v>
      </x:c>
      <x:c r="S84" s="17" t="n">
        <x:v>10.437800083309412</x:v>
      </x:c>
      <x:c r="T84" s="16" t="n">
        <x:v>791</x:v>
      </x:c>
      <x:c r="U84" s="16" t="n">
        <x:v>632</x:v>
      </x:c>
      <x:c r="V84" s="16" t="str">
        <x:v>Ya</x:v>
      </x:c>
    </x:row>
    <x:row r="85" ht="46" customHeight="1">
      <x:c r="A85" s="13" t="str">
        <x:v>U78</x:v>
      </x:c>
      <x:c r="B85" s="13" t="str">
        <x:v>L20</x:v>
      </x:c>
      <x:c r="C85" s="13" t="str">
        <x:f>'Lokasi'!B27</x:f>
        <x:v>Jalan Universitas Muhammadiyah Yogyakarta</x:v>
      </x:c>
      <x:c r="D85" s="13" t="str">
        <x:v>siang</x:v>
      </x:c>
      <x:c r="E85" s="14" t="n">
        <x:f>IF('Lokasi'!F27="","",'Lokasi'!F27)</x:f>
        <x:v>-7.8109131098308735</x:v>
      </x:c>
      <x:c r="F85" s="14" t="n">
        <x:f>IF('Lokasi'!G27="","",'Lokasi'!G27)</x:f>
        <x:v>110.32233769800055</x:v>
      </x:c>
      <x:c r="G85" s="15" t="n">
        <x:v>46295.42497518518</x:v>
      </x:c>
      <x:c r="H85" s="16" t="str">
        <x:v>Berhasil</x:v>
      </x:c>
      <x:c r="I85" s="16" t="str">
        <x:v>Rumah Sakit PKU Muhammadiyah Gamping</x:v>
      </x:c>
      <x:c r="J85" s="17" t="n">
        <x:v>2270.36971083085</x:v>
      </x:c>
      <x:c r="K85" s="17" t="n">
        <x:v>0.0000012366629076491097</x:v>
      </x:c>
      <x:c r="L85" s="17" t="n">
        <x:v>414.3007090548546</x:v>
      </x:c>
      <x:c r="M85" s="17" t="n">
        <x:v>414.3007090548546</x:v>
      </x:c>
      <x:c r="N85" s="18" t="n">
        <x:f>IF(COUNT(L85:M85)&lt;2,"",ABS(L85-M85))</x:f>
        <x:v>0</x:v>
      </x:c>
      <x:c r="O85" s="13" t="str">
        <x:f>IF(COUNT(L85:M85)&lt;2,"",IF(ABS(L85-M85)&lt;=0.1,"Sama (≤0,1 dtk)","Periksa"))</x:f>
        <x:v>Sama (≤0,1 dtk)</x:v>
      </x:c>
      <x:c r="P85" s="16" t="str">
        <x:v>titik jalan OSM otomatis dekat penanda; Jalan Universitas Muhammadiyah Yogyakarta; jarak penanda 0.0 m; akses fisik belum diverifikasi</x:v>
      </x:c>
      <x:c r="Q85" s="16" t="str">
        <x:v>hasil_batch.json (U78)</x:v>
      </x:c>
      <x:c r="R85" s="17" t="n">
        <x:v>2.765699988231063</x:v>
      </x:c>
      <x:c r="S85" s="17" t="n">
        <x:v>10.597100015729666</x:v>
      </x:c>
      <x:c r="T85" s="16" t="n">
        <x:v>656</x:v>
      </x:c>
      <x:c r="U85" s="16" t="n">
        <x:v>607</x:v>
      </x:c>
      <x:c r="V85" s="16" t="str">
        <x:v>Ya</x:v>
      </x:c>
    </x:row>
    <x:row r="86" ht="46" customHeight="1">
      <x:c r="A86" s="13" t="str">
        <x:v>U79</x:v>
      </x:c>
      <x:c r="B86" s="13" t="str">
        <x:v>L20</x:v>
      </x:c>
      <x:c r="C86" s="13" t="str">
        <x:f>'Lokasi'!B27</x:f>
        <x:v>Jalan Universitas Muhammadiyah Yogyakarta</x:v>
      </x:c>
      <x:c r="D86" s="13" t="str">
        <x:v>sore</x:v>
      </x:c>
      <x:c r="E86" s="14" t="n">
        <x:f>IF('Lokasi'!F27="","",'Lokasi'!F27)</x:f>
        <x:v>-7.8109131098308735</x:v>
      </x:c>
      <x:c r="F86" s="14" t="n">
        <x:f>IF('Lokasi'!G27="","",'Lokasi'!G27)</x:f>
        <x:v>110.32233769800055</x:v>
      </x:c>
      <x:c r="G86" s="15" t="n">
        <x:v>46295.42500956018</x:v>
      </x:c>
      <x:c r="H86" s="16" t="str">
        <x:v>Berhasil</x:v>
      </x:c>
      <x:c r="I86" s="16" t="str">
        <x:v>Rumah Sakit PKU Muhammadiyah Gamping</x:v>
      </x:c>
      <x:c r="J86" s="17" t="n">
        <x:v>2270.36971083085</x:v>
      </x:c>
      <x:c r="K86" s="17" t="n">
        <x:v>0.0000012366629076491097</x:v>
      </x:c>
      <x:c r="L86" s="17" t="n">
        <x:v>397.5744993095318</x:v>
      </x:c>
      <x:c r="M86" s="17" t="n">
        <x:v>397.5744993095318</x:v>
      </x:c>
      <x:c r="N86" s="18" t="n">
        <x:f>IF(COUNT(L86:M86)&lt;2,"",ABS(L86-M86))</x:f>
        <x:v>0</x:v>
      </x:c>
      <x:c r="O86" s="13" t="str">
        <x:f>IF(COUNT(L86:M86)&lt;2,"",IF(ABS(L86-M86)&lt;=0.1,"Sama (≤0,1 dtk)","Periksa"))</x:f>
        <x:v>Sama (≤0,1 dtk)</x:v>
      </x:c>
      <x:c r="P86" s="16" t="str">
        <x:v>titik jalan OSM otomatis dekat penanda; Jalan Universitas Muhammadiyah Yogyakarta; jarak penanda 0.0 m; akses fisik belum diverifikasi</x:v>
      </x:c>
      <x:c r="Q86" s="16" t="str">
        <x:v>hasil_batch.json (U79)</x:v>
      </x:c>
      <x:c r="R86" s="17" t="n">
        <x:v>3.4533001016825438</x:v>
      </x:c>
      <x:c r="S86" s="17" t="n">
        <x:v>11.729300022125244</x:v>
      </x:c>
      <x:c r="T86" s="16" t="n">
        <x:v>644</x:v>
      </x:c>
      <x:c r="U86" s="16" t="n">
        <x:v>605</x:v>
      </x:c>
      <x:c r="V86" s="16" t="str">
        <x:v>Ya</x:v>
      </x:c>
    </x:row>
    <x:row r="87" ht="46" customHeight="1">
      <x:c r="A87" s="13" t="str">
        <x:v>U80</x:v>
      </x:c>
      <x:c r="B87" s="13" t="str">
        <x:v>L20</x:v>
      </x:c>
      <x:c r="C87" s="13" t="str">
        <x:f>'Lokasi'!B27</x:f>
        <x:v>Jalan Universitas Muhammadiyah Yogyakarta</x:v>
      </x:c>
      <x:c r="D87" s="13" t="str">
        <x:v>malam</x:v>
      </x:c>
      <x:c r="E87" s="14" t="n">
        <x:f>IF('Lokasi'!F27="","",'Lokasi'!F27)</x:f>
        <x:v>-7.8109131098308735</x:v>
      </x:c>
      <x:c r="F87" s="14" t="n">
        <x:f>IF('Lokasi'!G27="","",'Lokasi'!G27)</x:f>
        <x:v>110.32233769800055</x:v>
      </x:c>
      <x:c r="G87" s="15" t="n">
        <x:v>46295.42505445601</x:v>
      </x:c>
      <x:c r="H87" s="16" t="str">
        <x:v>Berhasil</x:v>
      </x:c>
      <x:c r="I87" s="16" t="str">
        <x:v>Rumah Sakit PKU Muhammadiyah Gamping</x:v>
      </x:c>
      <x:c r="J87" s="17" t="n">
        <x:v>2270.36971083085</x:v>
      </x:c>
      <x:c r="K87" s="17" t="n">
        <x:v>0.0000012366629076491097</x:v>
      </x:c>
      <x:c r="L87" s="17" t="n">
        <x:v>309.1220798188864</x:v>
      </x:c>
      <x:c r="M87" s="17" t="n">
        <x:v>309.1220798188864</x:v>
      </x:c>
      <x:c r="N87" s="18" t="n">
        <x:f>IF(COUNT(L87:M87)&lt;2,"",ABS(L87-M87))</x:f>
        <x:v>0</x:v>
      </x:c>
      <x:c r="O87" s="13" t="str">
        <x:f>IF(COUNT(L87:M87)&lt;2,"",IF(ABS(L87-M87)&lt;=0.1,"Sama (≤0,1 dtk)","Periksa"))</x:f>
        <x:v>Sama (≤0,1 dtk)</x:v>
      </x:c>
      <x:c r="P87" s="16" t="str">
        <x:v>titik jalan OSM otomatis dekat penanda; Jalan Universitas Muhammadiyah Yogyakarta; jarak penanda 0.0 m; akses fisik belum diverifikasi</x:v>
      </x:c>
      <x:c r="Q87" s="16" t="str">
        <x:v>hasil_batch.json (U80)</x:v>
      </x:c>
      <x:c r="R87" s="17" t="n">
        <x:v>2.816499909386039</x:v>
      </x:c>
      <x:c r="S87" s="17" t="n">
        <x:v>11.606399901211262</x:v>
      </x:c>
      <x:c r="T87" s="16" t="n">
        <x:v>615</x:v>
      </x:c>
      <x:c r="U87" s="16" t="n">
        <x:v>594</x:v>
      </x:c>
      <x:c r="V87" s="16" t="str">
        <x:v>Ya</x:v>
      </x:c>
    </x:row>
  </x:sheetData>
  <x:conditionalFormatting sqref="O8:O87">
    <x:cfRule type="containsText" dxfId="0" priority="1" operator="containsText" text="Periksa"/>
  </x:conditionalFormatting>
  <x:dataValidations count="1">
    <x:dataValidation type="list" sqref="H8:H87">
      <x:formula1>"Belum diuji,Berhasil,Tidak ada rute,Gagal memilih titik,Galat aplikasi"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ea7766b4445e5"/>
  </x:tableParts>
</x:worksheet>
</file>

<file path=xl/worksheets/sheet2.xml><?xml version="1.0" encoding="utf-8"?>
<x:worksheet xmlns:x="http://schemas.openxmlformats.org/spreadsheetml/2006/main">
  <x:sheetPr>
    <x:tabColor rgb="FFD6A34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2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6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Lokasi dan titik keberangkatan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 t="str">
        <x:v>D–E: penanda referensi. F–G: titik yang benar-benar diuji. Untuk L04–L20, sistem memilih ruas OSM terdekat secara otomatis.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 t="str">
        <x:v>Titik otomatis belum diperiksa akses kendaraan di lapangan. Tiga lokasi pertama memakai koordinat pengguna.</x:v>
      </x:c>
      <x:c r="B4" s="2"/>
      <x:c r="C4" s="2"/>
      <x:c r="D4" s="2"/>
      <x:c r="E4" s="2"/>
      <x:c r="F4" s="2"/>
      <x:c r="G4" s="2"/>
      <x:c r="H4" s="2"/>
    </x:row>
    <x:row r="5" ht="26" customHeight="1">
      <x:c r="A5" s="2" t="str">
        <x:v>Keempat skenario memakai titik sama. Lokasi dipilih untuk variasi konteks, bukan sampel acak.</x:v>
      </x:c>
      <x:c r="B5" s="2"/>
      <x:c r="C5" s="2"/>
      <x:c r="D5" s="2"/>
      <x:c r="E5" s="2"/>
      <x:c r="F5" s="2"/>
      <x:c r="G5" s="2"/>
      <x:c r="H5" s="2"/>
    </x:row>
    <x:row r="6" ht="26" customHeight="1">
      <x:c r="A6" s="2"/>
      <x:c r="B6" s="2"/>
      <x:c r="C6" s="2"/>
      <x:c r="D6" s="2"/>
      <x:c r="E6" s="2"/>
      <x:c r="F6" s="2"/>
      <x:c r="G6" s="2"/>
      <x:c r="H6" s="2"/>
    </x:row>
    <x:row r="7" ht="42" customHeight="1">
      <x:c r="A7" s="7" t="str">
        <x:v>ID lokasi</x:v>
      </x:c>
      <x:c r="B7" s="7" t="str">
        <x:v>Nama / kata kunci</x:v>
      </x:c>
      <x:c r="C7" s="7" t="str">
        <x:v>Konteks uji</x:v>
      </x:c>
      <x:c r="D7" s="7" t="str">
        <x:v>Lintang referensi</x:v>
      </x:c>
      <x:c r="E7" s="7" t="str">
        <x:v>Bujur referensi</x:v>
      </x:c>
      <x:c r="F7" s="7" t="str">
        <x:v>Lintang pakai (isi)</x:v>
      </x:c>
      <x:c r="G7" s="7" t="str">
        <x:v>Bujur pakai (isi)</x:v>
      </x:c>
      <x:c r="H7" s="7" t="str">
        <x:v>Sumber / petunjuk</x:v>
      </x:c>
    </x:row>
    <x:row r="8" ht="56" customHeight="1">
      <x:c r="A8" s="13" t="str">
        <x:v>L01</x:v>
      </x:c>
      <x:c r="B8" s="13" t="str">
        <x:v>Jalan Grafika</x:v>
      </x:c>
      <x:c r="C8" s="13" t="str">
        <x:v>Kampus</x:v>
      </x:c>
      <x:c r="D8" s="14" t="n">
        <x:v>-7.766067024356544</x:v>
      </x:c>
      <x:c r="E8" s="14" t="n">
        <x:v>110.37390636072011</x:v>
      </x:c>
      <x:c r="F8" s="20" t="n">
        <x:v>-7.766067024356544</x:v>
      </x:c>
      <x:c r="G8" s="20" t="n">
        <x:v>110.37390636072011</x:v>
      </x:c>
      <x:c r="H8" s="13" t="str">
        <x:v>Koordinat pengguna dari percobaan sebelumnya.</x:v>
      </x:c>
    </x:row>
    <x:row r="9" ht="56" customHeight="1">
      <x:c r="A9" s="13" t="str">
        <x:v>L02</x:v>
      </x:c>
      <x:c r="B9" s="13" t="str">
        <x:v>UGM — Jalan Pancasila</x:v>
      </x:c>
      <x:c r="C9" s="13" t="str">
        <x:v>Kampus</x:v>
      </x:c>
      <x:c r="D9" s="14" t="n">
        <x:v>-7.773595801763427</x:v>
      </x:c>
      <x:c r="E9" s="14" t="n">
        <x:v>110.376947373952</x:v>
      </x:c>
      <x:c r="F9" s="20" t="n">
        <x:v>-7.773595801763427</x:v>
      </x:c>
      <x:c r="G9" s="20" t="n">
        <x:v>110.376947373952</x:v>
      </x:c>
      <x:c r="H9" s="13" t="str">
        <x:v>Koordinat pengguna dari percobaan sebelumnya.</x:v>
      </x:c>
    </x:row>
    <x:row r="10" ht="56" customHeight="1">
      <x:c r="A10" s="13" t="str">
        <x:v>L03</x:v>
      </x:c>
      <x:c r="B10" s="13" t="str">
        <x:v>Jalan Tentara Pelajar</x:v>
      </x:c>
      <x:c r="C10" s="13" t="str">
        <x:v>Pusat kota</x:v>
      </x:c>
      <x:c r="D10" s="14" t="n">
        <x:v>-7.783391923119533</x:v>
      </x:c>
      <x:c r="E10" s="14" t="n">
        <x:v>110.36085404109025</x:v>
      </x:c>
      <x:c r="F10" s="20" t="n">
        <x:v>-7.783391923119533</x:v>
      </x:c>
      <x:c r="G10" s="20" t="n">
        <x:v>110.36085404109025</x:v>
      </x:c>
      <x:c r="H10" s="13" t="str">
        <x:v>Koordinat pengguna dari percobaan sebelumnya.</x:v>
      </x:c>
    </x:row>
    <x:row r="11" ht="56" customHeight="1">
      <x:c r="A11" s="13" t="str">
        <x:v>L04</x:v>
      </x:c>
      <x:c r="B11" s="13" t="str">
        <x:v>Stasiun Tugu Yogyakarta</x:v>
      </x:c>
      <x:c r="C11" s="13" t="str">
        <x:v>Sekitar stasiun</x:v>
      </x:c>
      <x:c r="D11" s="14" t="n">
        <x:v>-7.7896692000000005</x:v>
      </x:c>
      <x:c r="E11" s="14" t="n">
        <x:v>110.36318295711041</x:v>
      </x:c>
      <x:c r="F11" s="20" t="n">
        <x:v>-7.789991014449244</x:v>
      </x:c>
      <x:c r="G11" s="20" t="n">
        <x:v>110.36315928730939</x:v>
      </x:c>
      <x:c r="H11" s="13" t="str">
        <x:v>OSM 20 Sep 2026, way/683479758. Titik jalan dipilih otomatis; akses fisik belum diperiksa.</x:v>
      </x:c>
    </x:row>
    <x:row r="12" ht="56" customHeight="1">
      <x:c r="A12" s="13" t="str">
        <x:v>L05</x:v>
      </x:c>
      <x:c r="B12" s="13" t="str">
        <x:v>Malioboro Mall</x:v>
      </x:c>
      <x:c r="C12" s="13" t="str">
        <x:v>Pusat kota</x:v>
      </x:c>
      <x:c r="D12" s="14" t="n">
        <x:v>-7.79334345</x:v>
      </x:c>
      <x:c r="E12" s="14" t="n">
        <x:v>110.3666525377634</x:v>
      </x:c>
      <x:c r="F12" s="20" t="n">
        <x:v>-7.793033115831299</x:v>
      </x:c>
      <x:c r="G12" s="20" t="n">
        <x:v>110.36750832200028</x:v>
      </x:c>
      <x:c r="H12" s="13" t="str">
        <x:v>OSM 20 Sep 2026, way/1327171506. Titik jalan dipilih otomatis; akses fisik belum diperiksa.</x:v>
      </x:c>
    </x:row>
    <x:row r="13" ht="56" customHeight="1">
      <x:c r="A13" s="13" t="str">
        <x:v>L06</x:v>
      </x:c>
      <x:c r="B13" s="13" t="str">
        <x:v>Kantor Pos Kotagede</x:v>
      </x:c>
      <x:c r="C13" s="13" t="str">
        <x:v>Permukiman kota</x:v>
      </x:c>
      <x:c r="D13" s="14" t="n">
        <x:v>-7.8274415</x:v>
      </x:c>
      <x:c r="E13" s="14" t="n">
        <x:v>110.4005059</x:v>
      </x:c>
      <x:c r="F13" s="20" t="n">
        <x:v>-7.827445359455721</x:v>
      </x:c>
      <x:c r="G13" s="20" t="n">
        <x:v>110.40042313205872</x:v>
      </x:c>
      <x:c r="H13" s="13" t="str">
        <x:v>OSM 20 Sep 2026, node/4578928801. Titik jalan dipilih otomatis; akses fisik belum diperiksa.</x:v>
      </x:c>
    </x:row>
    <x:row r="14" ht="56" customHeight="1">
      <x:c r="A14" s="13" t="str">
        <x:v>L07</x:v>
      </x:c>
      <x:c r="B14" s="13" t="str">
        <x:v>Terminal Giwangan</x:v>
      </x:c>
      <x:c r="C14" s="13" t="str">
        <x:v>Sekitar terminal</x:v>
      </x:c>
      <x:c r="D14" s="14" t="n">
        <x:v>-7.83528615</x:v>
      </x:c>
      <x:c r="E14" s="14" t="n">
        <x:v>110.392696031741</x:v>
      </x:c>
      <x:c r="F14" s="20" t="n">
        <x:v>-7.835302371488561</x:v>
      </x:c>
      <x:c r="G14" s="20" t="n">
        <x:v>110.39278720095895</x:v>
      </x:c>
      <x:c r="H14" s="13" t="str">
        <x:v>OSM 20 Sep 2026, way/263174151. Titik jalan dipilih otomatis; akses fisik belum diperiksa.</x:v>
      </x:c>
    </x:row>
    <x:row r="15" ht="56" customHeight="1">
      <x:c r="A15" s="13" t="str">
        <x:v>L08</x:v>
      </x:c>
      <x:c r="B15" s="13" t="str">
        <x:v>Terminal Jombor</x:v>
      </x:c>
      <x:c r="C15" s="13" t="str">
        <x:v>Sekitar terminal</x:v>
      </x:c>
      <x:c r="D15" s="14" t="n">
        <x:v>-7.7473771</x:v>
      </x:c>
      <x:c r="E15" s="14" t="n">
        <x:v>110.361458</x:v>
      </x:c>
      <x:c r="F15" s="20" t="n">
        <x:v>-7.747376695832385</x:v>
      </x:c>
      <x:c r="G15" s="20" t="n">
        <x:v>110.36145621600019</x:v>
      </x:c>
      <x:c r="H15" s="13" t="str">
        <x:v>OSM 20 Sep 2026, node/957014955. Titik jalan dipilih otomatis; akses fisik belum diperiksa.</x:v>
      </x:c>
    </x:row>
    <x:row r="16" ht="56" customHeight="1">
      <x:c r="A16" s="13" t="str">
        <x:v>L09</x:v>
      </x:c>
      <x:c r="B16" s="13" t="str">
        <x:v>Anggrek 212 Perumnas Condongcatur</x:v>
      </x:c>
      <x:c r="C16" s="13" t="str">
        <x:v>Perumahan</x:v>
      </x:c>
      <x:c r="D16" s="14" t="n">
        <x:v>-7.7566022</x:v>
      </x:c>
      <x:c r="E16" s="14" t="n">
        <x:v>110.4075357</x:v>
      </x:c>
      <x:c r="F16" s="20" t="n">
        <x:v>-7.756514581052434</x:v>
      </x:c>
      <x:c r="G16" s="20" t="n">
        <x:v>110.40755955364895</x:v>
      </x:c>
      <x:c r="H16" s="13" t="str">
        <x:v>OSM 20 Sep 2026, node/1988467892. Titik jalan dipilih otomatis; akses fisik belum diperiksa.</x:v>
      </x:c>
    </x:row>
    <x:row r="17" ht="56" customHeight="1">
      <x:c r="A17" s="13" t="str">
        <x:v>L10</x:v>
      </x:c>
      <x:c r="B17" s="13" t="str">
        <x:v>Pasar Godean</x:v>
      </x:c>
      <x:c r="C17" s="13" t="str">
        <x:v>Sleman barat</x:v>
      </x:c>
      <x:c r="D17" s="14" t="n">
        <x:v>-7.766094799999999</x:v>
      </x:c>
      <x:c r="E17" s="14" t="n">
        <x:v>110.29071053824265</x:v>
      </x:c>
      <x:c r="F17" s="20" t="n">
        <x:v>-7.765845645832094</x:v>
      </x:c>
      <x:c r="G17" s="20" t="n">
        <x:v>110.29099515799936</x:v>
      </x:c>
      <x:c r="H17" s="13" t="str">
        <x:v>OSM 20 Sep 2026, way/121301078. Titik jalan dipilih otomatis; akses fisik belum diperiksa.</x:v>
      </x:c>
    </x:row>
    <x:row r="18" ht="56" customHeight="1">
      <x:c r="A18" s="13" t="str">
        <x:v>L11</x:v>
      </x:c>
      <x:c r="B18" s="13" t="str">
        <x:v>Pasar Pakem</x:v>
      </x:c>
      <x:c r="C18" s="13" t="str">
        <x:v>Sleman utara</x:v>
      </x:c>
      <x:c r="D18" s="14" t="n">
        <x:v>-7.66545075</x:v>
      </x:c>
      <x:c r="E18" s="14" t="n">
        <x:v>110.41977620622225</x:v>
      </x:c>
      <x:c r="F18" s="20" t="n">
        <x:v>-7.66555217749513</x:v>
      </x:c>
      <x:c r="G18" s="20" t="n">
        <x:v>110.42002509668946</x:v>
      </x:c>
      <x:c r="H18" s="13" t="str">
        <x:v>OSM 20 Sep 2026, way/319060451. Titik jalan dipilih otomatis; akses fisik belum diperiksa.</x:v>
      </x:c>
    </x:row>
    <x:row r="19" ht="56" customHeight="1">
      <x:c r="A19" s="13" t="str">
        <x:v>L12</x:v>
      </x:c>
      <x:c r="B19" s="13" t="str">
        <x:v>Pasar Bantul</x:v>
      </x:c>
      <x:c r="C19" s="13" t="str">
        <x:v>Bantul</x:v>
      </x:c>
      <x:c r="D19" s="14" t="n">
        <x:v>-7.8850589</x:v>
      </x:c>
      <x:c r="E19" s="14" t="n">
        <x:v>110.3312536</x:v>
      </x:c>
      <x:c r="F19" s="20" t="n">
        <x:v>-7.885038451966714</x:v>
      </x:c>
      <x:c r="G19" s="20" t="n">
        <x:v>110.33120242764114</x:v>
      </x:c>
      <x:c r="H19" s="13" t="str">
        <x:v>OSM 20 Sep 2026, node/10703072227. Titik jalan dipilih otomatis; akses fisik belum diperiksa.</x:v>
      </x:c>
    </x:row>
    <x:row r="20" ht="56" customHeight="1">
      <x:c r="A20" s="13" t="str">
        <x:v>L13</x:v>
      </x:c>
      <x:c r="B20" s="13" t="str">
        <x:v>Pasar Imogiri</x:v>
      </x:c>
      <x:c r="C20" s="13" t="str">
        <x:v>Bantul selatan</x:v>
      </x:c>
      <x:c r="D20" s="14" t="n">
        <x:v>-7.91674695</x:v>
      </x:c>
      <x:c r="E20" s="14" t="n">
        <x:v>110.38148977410984</x:v>
      </x:c>
      <x:c r="F20" s="20" t="n">
        <x:v>-7.91682152164263</x:v>
      </x:c>
      <x:c r="G20" s="20" t="n">
        <x:v>110.38208751740495</x:v>
      </x:c>
      <x:c r="H20" s="13" t="str">
        <x:v>OSM 20 Sep 2026, way/338094672. Titik jalan dipilih otomatis; akses fisik belum diperiksa.</x:v>
      </x:c>
    </x:row>
    <x:row r="21" ht="56" customHeight="1">
      <x:c r="A21" s="13" t="str">
        <x:v>L14</x:v>
      </x:c>
      <x:c r="B21" s="13" t="str">
        <x:v>Stasiun Wates</x:v>
      </x:c>
      <x:c r="C21" s="13" t="str">
        <x:v>Kulon Progo</x:v>
      </x:c>
      <x:c r="D21" s="14" t="n">
        <x:v>-7.85956925</x:v>
      </x:c>
      <x:c r="E21" s="14" t="n">
        <x:v>110.15787260288461</x:v>
      </x:c>
      <x:c r="F21" s="20" t="n">
        <x:v>-7.859678742966311</x:v>
      </x:c>
      <x:c r="G21" s="20" t="n">
        <x:v>110.15791340120256</x:v>
      </x:c>
      <x:c r="H21" s="13" t="str">
        <x:v>OSM 20 Sep 2026, way/723011960. Titik jalan dipilih otomatis; akses fisik belum diperiksa.</x:v>
      </x:c>
    </x:row>
    <x:row r="22" ht="56" customHeight="1">
      <x:c r="A22" s="13" t="str">
        <x:v>L15</x:v>
      </x:c>
      <x:c r="B22" s="13" t="str">
        <x:v>Sentolo</x:v>
      </x:c>
      <x:c r="C22" s="13" t="str">
        <x:v>Kulon Progo</x:v>
      </x:c>
      <x:c r="D22" s="14" t="n">
        <x:v>-7.8338191</x:v>
      </x:c>
      <x:c r="E22" s="14" t="n">
        <x:v>110.2188429</x:v>
      </x:c>
      <x:c r="F22" s="20" t="n">
        <x:v>-7.833847031422651</x:v>
      </x:c>
      <x:c r="G22" s="20" t="n">
        <x:v>110.2189445955029</x:v>
      </x:c>
      <x:c r="H22" s="13" t="str">
        <x:v>OSM 20 Sep 2026, node/12379461262. Titik jalan dipilih otomatis; akses fisik belum diperiksa.</x:v>
      </x:c>
    </x:row>
    <x:row r="23" ht="56" customHeight="1">
      <x:c r="A23" s="13" t="str">
        <x:v>L16</x:v>
      </x:c>
      <x:c r="B23" s="13" t="str">
        <x:v>Pasar Argosari</x:v>
      </x:c>
      <x:c r="C23" s="13" t="str">
        <x:v>Gunungkidul</x:v>
      </x:c>
      <x:c r="D23" s="14" t="n">
        <x:v>-7.9681914</x:v>
      </x:c>
      <x:c r="E23" s="14" t="n">
        <x:v>110.60244441081005</x:v>
      </x:c>
      <x:c r="F23" s="20" t="n">
        <x:v>-7.968619933383576</x:v>
      </x:c>
      <x:c r="G23" s="20" t="n">
        <x:v>110.60240928967313</x:v>
      </x:c>
      <x:c r="H23" s="13" t="str">
        <x:v>OSM 20 Sep 2026, way/486555132. Titik jalan dipilih otomatis; akses fisik belum diperiksa.</x:v>
      </x:c>
    </x:row>
    <x:row r="24" ht="56" customHeight="1">
      <x:c r="A24" s="13" t="str">
        <x:v>L17</x:v>
      </x:c>
      <x:c r="B24" s="13" t="str">
        <x:v>Polsek Playen</x:v>
      </x:c>
      <x:c r="C24" s="13" t="str">
        <x:v>Gunungkidul</x:v>
      </x:c>
      <x:c r="D24" s="14" t="n">
        <x:v>-7.9144988</x:v>
      </x:c>
      <x:c r="E24" s="14" t="n">
        <x:v>110.5559486</x:v>
      </x:c>
      <x:c r="F24" s="20" t="n">
        <x:v>-7.914557786598566</x:v>
      </x:c>
      <x:c r="G24" s="20" t="n">
        <x:v>110.55579562623278</x:v>
      </x:c>
      <x:c r="H24" s="13" t="str">
        <x:v>OSM 20 Sep 2026, node/8385959139. Titik jalan dipilih otomatis; akses fisik belum diperiksa.</x:v>
      </x:c>
    </x:row>
    <x:row r="25" ht="56" customHeight="1">
      <x:c r="A25" s="13" t="str">
        <x:v>L18</x:v>
      </x:c>
      <x:c r="B25" s="13" t="str">
        <x:v>Pasar Prambanan</x:v>
      </x:c>
      <x:c r="C25" s="13" t="str">
        <x:v>Sleman timur</x:v>
      </x:c>
      <x:c r="D25" s="14" t="n">
        <x:v>-7.75663145</x:v>
      </x:c>
      <x:c r="E25" s="14" t="n">
        <x:v>110.48917148477855</x:v>
      </x:c>
      <x:c r="F25" s="20" t="n">
        <x:v>-7.756542963391598</x:v>
      </x:c>
      <x:c r="G25" s="20" t="n">
        <x:v>110.48887338210639</x:v>
      </x:c>
      <x:c r="H25" s="13" t="str">
        <x:v>OSM 20 Sep 2026, way/533772722. Titik jalan dipilih otomatis; akses fisik belum diperiksa.</x:v>
      </x:c>
    </x:row>
    <x:row r="26" ht="56" customHeight="1">
      <x:c r="A26" s="13" t="str">
        <x:v>L19</x:v>
      </x:c>
      <x:c r="B26" s="13" t="str">
        <x:v>SMP Negeri 2 Kalasan</x:v>
      </x:c>
      <x:c r="C26" s="13" t="str">
        <x:v>Sleman timur</x:v>
      </x:c>
      <x:c r="D26" s="14" t="n">
        <x:v>-7.7242115</x:v>
      </x:c>
      <x:c r="E26" s="14" t="n">
        <x:v>110.4696283</x:v>
      </x:c>
      <x:c r="F26" s="20" t="n">
        <x:v>-7.724134501957991</x:v>
      </x:c>
      <x:c r="G26" s="20" t="n">
        <x:v>110.46983167418624</x:v>
      </x:c>
      <x:c r="H26" s="13" t="str">
        <x:v>OSM 20 Sep 2026, node/2593288233. Titik jalan dipilih otomatis; akses fisik belum diperiksa.</x:v>
      </x:c>
    </x:row>
    <x:row r="27" ht="56" customHeight="1">
      <x:c r="A27" s="13" t="str">
        <x:v>L20</x:v>
      </x:c>
      <x:c r="B27" s="13" t="str">
        <x:v>Jalan Universitas Muhammadiyah Yogyakarta</x:v>
      </x:c>
      <x:c r="C27" s="13" t="str">
        <x:v>Sekitar kampus UMY</x:v>
      </x:c>
      <x:c r="D27" s="14" t="n">
        <x:v>-7.8109087</x:v>
      </x:c>
      <x:c r="E27" s="14" t="n">
        <x:v>110.322338</x:v>
      </x:c>
      <x:c r="F27" s="20" t="n">
        <x:v>-7.8109131098308735</x:v>
      </x:c>
      <x:c r="G27" s="20" t="n">
        <x:v>110.32233769800055</x:v>
      </x:c>
      <x:c r="H27" s="13" t="str">
        <x:v>OSM 20 Sep 2026, way/365042769. Titik jalan dipilih otomatis; akses fisik belum diperiksa.</x:v>
      </x:c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 t="str">
        <x:v>Sumber tambahan: ekstrak OSM lokal 20 September 2026, objek node/way DIY dan buffer 10 km. ID objek tercantum di kolom H.</x:v>
      </x:c>
      <x:c r="B30" s="2"/>
      <x:c r="C30" s="2"/>
      <x:c r="D30" s="2"/>
      <x:c r="E30" s="2"/>
      <x:c r="F30" s="2"/>
      <x:c r="G30" s="2"/>
      <x:c r="H30" s="2"/>
    </x:row>
    <x:row r="31" ht="26" customHeight="1">
      <x:c r="A31" s="2" t="str">
        <x:v>Rincian pengujian dan cap waktu ada di hasil_batch.json. Akses fisik serta estimasi waktu nyata belum divalidasi.</x:v>
      </x:c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  <x:tableParts count="1">
    <x:tablePart xmlns:r="http://schemas.openxmlformats.org/officeDocument/2006/relationships" r:id="R5311865523734fd9"/>
  </x:tableParts>
</x:worksheet>
</file>